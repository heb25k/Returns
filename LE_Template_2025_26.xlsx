
<file path=[Content_Types].xml><?xml version="1.0" encoding="utf-8"?>
<Types xmlns="http://schemas.openxmlformats.org/package/2006/content-types">
  <Default Extension="bin" ContentType="application/vnd.openxmlformats-officedocument.spreadsheetml.printerSettings"/>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
    </mc:Choice>
  </mc:AlternateContent>
  <xr:revisionPtr revIDLastSave="82" documentId="121_{643399A1-D384-4119-8863-8E6D73EF5E10}" xr6:coauthVersionLast="47" xr6:coauthVersionMax="47" xr10:uidLastSave="{C23030A8-AAA0-4A3F-B41B-DB3CF4F10372}"/>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2" i="45" l="1"/>
  <c r="D41" i="45"/>
  <c r="D43" i="45"/>
  <c r="M49" i="42" l="1"/>
  <c r="AD9" i="51"/>
  <c r="AD8" i="51"/>
  <c r="AD7" i="51"/>
  <c r="C32" i="42"/>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G26" i="27"/>
  <c r="G25" i="27"/>
  <c r="G24" i="27"/>
  <c r="G22" i="27"/>
  <c r="G21" i="27"/>
  <c r="G19" i="27"/>
  <c r="G18" i="27"/>
  <c r="G16" i="27"/>
  <c r="G15" i="27"/>
  <c r="G13" i="27"/>
  <c r="G12" i="27"/>
  <c r="G11" i="27"/>
  <c r="G9" i="27"/>
  <c r="G8" i="27"/>
  <c r="D4" i="49"/>
  <c r="G29" i="26"/>
  <c r="G28" i="26"/>
  <c r="G27" i="26"/>
  <c r="G25" i="26"/>
  <c r="G24" i="26"/>
  <c r="G22" i="26"/>
  <c r="G21" i="26"/>
  <c r="G19" i="26"/>
  <c r="G18" i="26"/>
  <c r="G16" i="26"/>
  <c r="G15" i="26"/>
  <c r="G14" i="26"/>
  <c r="G13" i="26"/>
  <c r="G12" i="26"/>
  <c r="G11" i="26"/>
  <c r="G9" i="26"/>
  <c r="G8" i="26"/>
  <c r="I26" i="21"/>
  <c r="I25" i="21"/>
  <c r="I24" i="21"/>
  <c r="I22" i="21"/>
  <c r="I21" i="21"/>
  <c r="I19" i="21"/>
  <c r="I18" i="21"/>
  <c r="I16" i="21"/>
  <c r="I15" i="21"/>
  <c r="I13" i="21"/>
  <c r="I12" i="21"/>
  <c r="I11" i="21"/>
  <c r="I9" i="21"/>
  <c r="I8" i="21"/>
  <c r="D4" i="48"/>
  <c r="A11" i="1"/>
  <c r="A10" i="1"/>
  <c r="E4" i="50" s="1"/>
  <c r="C250" i="1"/>
  <c r="D4" i="47"/>
  <c r="E4" i="47" l="1"/>
  <c r="F26" i="47" s="1" a="1"/>
  <c r="F26" i="47" s="1"/>
  <c r="B26" i="47" a="1"/>
  <c r="B26" i="47" s="1"/>
  <c r="E4" i="48"/>
  <c r="E16" i="48" s="1" a="1"/>
  <c r="E16" i="48" s="1"/>
  <c r="E4" i="49"/>
  <c r="G25" i="49" s="1" a="1"/>
  <c r="G25" i="49" s="1"/>
  <c r="D24" i="47" a="1"/>
  <c r="D24" i="47" s="1"/>
  <c r="B25" i="47" a="1"/>
  <c r="B25" i="47" s="1"/>
  <c r="B13" i="47" a="1"/>
  <c r="B13" i="47" s="1"/>
  <c r="D23" i="47" a="1"/>
  <c r="D23" i="47" s="1"/>
  <c r="E20" i="47" a="1"/>
  <c r="E20" i="47" s="1"/>
  <c r="E10" i="47" a="1"/>
  <c r="E10" i="47" s="1"/>
  <c r="G24" i="47" a="1"/>
  <c r="G24" i="47" s="1"/>
  <c r="F23" i="47" a="1"/>
  <c r="F23" i="47" s="1"/>
  <c r="E22" i="47" a="1"/>
  <c r="E22" i="47" s="1"/>
  <c r="D21" i="47" a="1"/>
  <c r="D21" i="47" s="1"/>
  <c r="G16" i="47" a="1"/>
  <c r="G16" i="47" s="1"/>
  <c r="C21" i="47" a="1"/>
  <c r="C21" i="47" s="1"/>
  <c r="H18" i="47" a="1"/>
  <c r="H18" i="47" s="1"/>
  <c r="G17" i="47" a="1"/>
  <c r="G17" i="47" s="1"/>
  <c r="G10" i="47" a="1"/>
  <c r="G10" i="47" s="1"/>
  <c r="C23" i="47" a="1"/>
  <c r="C23" i="47" s="1"/>
  <c r="B22" i="47" a="1"/>
  <c r="B22" i="47" s="1"/>
  <c r="H20" i="47" a="1"/>
  <c r="H20" i="47" s="1"/>
  <c r="F18" i="47" a="1"/>
  <c r="F18" i="47" s="1"/>
  <c r="E17" i="47" a="1"/>
  <c r="E17" i="47" s="1"/>
  <c r="B14" i="47" a="1"/>
  <c r="B14" i="47" s="1"/>
  <c r="G11" i="47" a="1"/>
  <c r="G11" i="47" s="1"/>
  <c r="D26" i="47" a="1"/>
  <c r="D26" i="47" s="1"/>
  <c r="E19" i="47" a="1"/>
  <c r="E19" i="47" s="1"/>
  <c r="D18" i="47" a="1"/>
  <c r="D18" i="47" s="1"/>
  <c r="B16" i="47" a="1"/>
  <c r="B16" i="47" s="1"/>
  <c r="D10" i="47" a="1"/>
  <c r="D10" i="47" s="1"/>
  <c r="C9" i="47" a="1"/>
  <c r="C9" i="47" s="1"/>
  <c r="B9" i="47" a="1"/>
  <c r="B9" i="47" s="1"/>
  <c r="H24" i="47" a="1"/>
  <c r="H24" i="47" s="1"/>
  <c r="G23" i="47" a="1"/>
  <c r="G23" i="47" s="1"/>
  <c r="F22" i="47" a="1"/>
  <c r="F22" i="47" s="1"/>
  <c r="D20" i="47" a="1"/>
  <c r="D20" i="47" s="1"/>
  <c r="B18" i="47" a="1"/>
  <c r="B18" i="47" s="1"/>
  <c r="F14" i="47" a="1"/>
  <c r="F14" i="47" s="1"/>
  <c r="E13" i="47" a="1"/>
  <c r="E13" i="47" s="1"/>
  <c r="D12" i="47" a="1"/>
  <c r="D12" i="47" s="1"/>
  <c r="B11" i="50" a="1"/>
  <c r="B11" i="50" s="1"/>
  <c r="B27" i="50" a="1"/>
  <c r="B27" i="50"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16" i="47" l="1" a="1"/>
  <c r="E16" i="47" s="1"/>
  <c r="H12" i="47" a="1"/>
  <c r="H12" i="47" s="1"/>
  <c r="H25" i="47" a="1"/>
  <c r="H25" i="47" s="1"/>
  <c r="B17" i="47" a="1"/>
  <c r="B17" i="47" s="1"/>
  <c r="G19" i="47" a="1"/>
  <c r="G19" i="47" s="1"/>
  <c r="E18" i="47" a="1"/>
  <c r="E18" i="47" s="1"/>
  <c r="C19" i="47" a="1"/>
  <c r="C19" i="47" s="1"/>
  <c r="B27" i="47" a="1"/>
  <c r="B27" i="47" s="1"/>
  <c r="B21" i="47" a="1"/>
  <c r="B21" i="47" s="1"/>
  <c r="E21" i="47" a="1"/>
  <c r="E21" i="47" s="1"/>
  <c r="B12" i="47" a="1"/>
  <c r="B12" i="47" s="1"/>
  <c r="C22" i="47" a="1"/>
  <c r="C22" i="47" s="1"/>
  <c r="H10" i="47" a="1"/>
  <c r="H10" i="47" s="1"/>
  <c r="G14" i="47" a="1"/>
  <c r="G14" i="47" s="1"/>
  <c r="E11" i="47" a="1"/>
  <c r="E11" i="47" s="1"/>
  <c r="D22" i="47" a="1"/>
  <c r="D22" i="47" s="1"/>
  <c r="C14" i="47" a="1"/>
  <c r="C14" i="47" s="1"/>
  <c r="H14" i="47" a="1"/>
  <c r="H14" i="47" s="1"/>
  <c r="F15" i="47" a="1"/>
  <c r="F15" i="47" s="1"/>
  <c r="D19" i="47" a="1"/>
  <c r="D19" i="47" s="1"/>
  <c r="B20" i="47" a="1"/>
  <c r="B20" i="47" s="1"/>
  <c r="D15" i="47" a="1"/>
  <c r="D15" i="47" s="1"/>
  <c r="C17" i="47" a="1"/>
  <c r="C17" i="47" s="1"/>
  <c r="E23" i="47" a="1"/>
  <c r="E23" i="47" s="1"/>
  <c r="I14" i="47" a="1"/>
  <c r="I14" i="47" s="1"/>
  <c r="F20" i="47" a="1"/>
  <c r="F20" i="47" s="1"/>
  <c r="I10" i="47" a="1"/>
  <c r="I10" i="47" s="1"/>
  <c r="D8" i="47" a="1"/>
  <c r="D8" i="47" s="1"/>
  <c r="G21" i="47" a="1"/>
  <c r="G21" i="47" s="1"/>
  <c r="E14" i="47" a="1"/>
  <c r="E14" i="47" s="1"/>
  <c r="G9" i="48" a="1"/>
  <c r="G9" i="48" s="1"/>
  <c r="G8" i="48" a="1"/>
  <c r="G8" i="48" s="1"/>
  <c r="F12" i="49" a="1"/>
  <c r="F12" i="49" s="1"/>
  <c r="B14" i="48" a="1"/>
  <c r="B14" i="48" s="1"/>
  <c r="G17" i="48" a="1"/>
  <c r="G17" i="48" s="1"/>
  <c r="C18" i="48" a="1"/>
  <c r="C18" i="48" s="1"/>
  <c r="H23" i="47" a="1"/>
  <c r="H23" i="47" s="1"/>
  <c r="G15" i="47" a="1"/>
  <c r="G15" i="47" s="1"/>
  <c r="F12" i="47" a="1"/>
  <c r="F12" i="47" s="1"/>
  <c r="C15" i="47" a="1"/>
  <c r="C15" i="47" s="1"/>
  <c r="D14" i="47" a="1"/>
  <c r="D14" i="47" s="1"/>
  <c r="H17" i="47" a="1"/>
  <c r="H17" i="47" s="1"/>
  <c r="H13" i="47" a="1"/>
  <c r="H13" i="47" s="1"/>
  <c r="F21" i="47" a="1"/>
  <c r="F21" i="47" s="1"/>
  <c r="C13" i="47" a="1"/>
  <c r="C13" i="47" s="1"/>
  <c r="H16" i="47" a="1"/>
  <c r="H16" i="47" s="1"/>
  <c r="G13" i="47" a="1"/>
  <c r="G13" i="47" s="1"/>
  <c r="D16" i="47" a="1"/>
  <c r="D16" i="47" s="1"/>
  <c r="E15" i="47" a="1"/>
  <c r="E15" i="47" s="1"/>
  <c r="B19" i="47" a="1"/>
  <c r="B19" i="47" s="1"/>
  <c r="C24" i="47" a="1"/>
  <c r="C24" i="47" s="1"/>
  <c r="E8" i="47" a="1"/>
  <c r="E8" i="47" s="1"/>
  <c r="F16" i="47" a="1"/>
  <c r="F16" i="47" s="1"/>
  <c r="C20" i="47" a="1"/>
  <c r="C20" i="47" s="1"/>
  <c r="D27" i="47" a="1"/>
  <c r="D27" i="47" s="1"/>
  <c r="H21" i="47" a="1"/>
  <c r="H21" i="47" s="1"/>
  <c r="I22" i="47" a="1"/>
  <c r="I22" i="47" s="1"/>
  <c r="E27" i="47" a="1"/>
  <c r="E27" i="47" s="1"/>
  <c r="H22" i="47" a="1"/>
  <c r="H22" i="47" s="1"/>
  <c r="I16" i="47" a="1"/>
  <c r="I16" i="47" s="1"/>
  <c r="F24" i="47" a="1"/>
  <c r="F24" i="47" s="1"/>
  <c r="G12" i="47" a="1"/>
  <c r="G12" i="47" s="1"/>
  <c r="D25" i="47" a="1"/>
  <c r="D25" i="47" s="1"/>
  <c r="D17" i="47" a="1"/>
  <c r="D17" i="47" s="1"/>
  <c r="C8" i="48" a="1"/>
  <c r="C8" i="48" s="1"/>
  <c r="I12" i="47" a="1"/>
  <c r="I12" i="47" s="1"/>
  <c r="B24" i="47" a="1"/>
  <c r="B24" i="47" s="1"/>
  <c r="I24" i="47" a="1"/>
  <c r="I24" i="47" s="1"/>
  <c r="G25" i="47" a="1"/>
  <c r="G25" i="47" s="1"/>
  <c r="F13" i="47" a="1"/>
  <c r="F13" i="47" s="1"/>
  <c r="B15" i="47" a="1"/>
  <c r="B15" i="47" s="1"/>
  <c r="G18" i="47" a="1"/>
  <c r="G18" i="47" s="1"/>
  <c r="I20" i="47" a="1"/>
  <c r="I20" i="47" s="1"/>
  <c r="C25" i="47" a="1"/>
  <c r="C25" i="47" s="1"/>
  <c r="F9" i="47" a="1"/>
  <c r="F9" i="47" s="1"/>
  <c r="C27" i="47" a="1"/>
  <c r="C27" i="47" s="1"/>
  <c r="H15" i="47" a="1"/>
  <c r="H15" i="47" s="1"/>
  <c r="F25" i="47" a="1"/>
  <c r="F25" i="47" s="1"/>
  <c r="F19" i="47" a="1"/>
  <c r="F19" i="47" s="1"/>
  <c r="H19" i="47" a="1"/>
  <c r="H19" i="47" s="1"/>
  <c r="C10" i="47" a="1"/>
  <c r="C10" i="47" s="1"/>
  <c r="I18" i="47" a="1"/>
  <c r="I18" i="47" s="1"/>
  <c r="H11" i="47" a="1"/>
  <c r="H11" i="47" s="1"/>
  <c r="B12" i="49" a="1"/>
  <c r="B12" i="49" s="1"/>
  <c r="I26" i="47" a="1"/>
  <c r="I26" i="47" s="1"/>
  <c r="I15" i="47" a="1"/>
  <c r="I15" i="47" s="1"/>
  <c r="C16" i="47" a="1"/>
  <c r="C16" i="47" s="1"/>
  <c r="F27" i="47" a="1"/>
  <c r="F27" i="47" s="1"/>
  <c r="B11" i="47" a="1"/>
  <c r="B11" i="47" s="1"/>
  <c r="G27" i="47" a="1"/>
  <c r="G27" i="47" s="1"/>
  <c r="G20" i="47" a="1"/>
  <c r="G20" i="47" s="1"/>
  <c r="H8" i="47" a="1"/>
  <c r="H8" i="47" s="1"/>
  <c r="I11" i="47" a="1"/>
  <c r="I11" i="47" s="1"/>
  <c r="H27" i="47" a="1"/>
  <c r="H27" i="47" s="1"/>
  <c r="E25" i="47" a="1"/>
  <c r="E25" i="47" s="1"/>
  <c r="D10" i="49" a="1"/>
  <c r="D10" i="49" s="1"/>
  <c r="E12" i="47" a="1"/>
  <c r="E12" i="47" s="1"/>
  <c r="I9" i="47" a="1"/>
  <c r="I9" i="47" s="1"/>
  <c r="C18" i="47" a="1"/>
  <c r="C18" i="47" s="1"/>
  <c r="G26" i="47" a="1"/>
  <c r="G26" i="47" s="1"/>
  <c r="I8" i="47" a="1"/>
  <c r="I8" i="47" s="1"/>
  <c r="I17" i="47" a="1"/>
  <c r="I17" i="47" s="1"/>
  <c r="B10" i="47" a="1"/>
  <c r="B10" i="47" s="1"/>
  <c r="I13" i="47" a="1"/>
  <c r="I13" i="47" s="1"/>
  <c r="E9" i="47" a="1"/>
  <c r="E9" i="47" s="1"/>
  <c r="I25" i="47" a="1"/>
  <c r="I25" i="47" s="1"/>
  <c r="C12" i="47" a="1"/>
  <c r="C12" i="47" s="1"/>
  <c r="B23" i="47" a="1"/>
  <c r="B23" i="47" s="1"/>
  <c r="C8" i="47" a="1"/>
  <c r="C8" i="47" s="1"/>
  <c r="G22" i="47" a="1"/>
  <c r="G22" i="47" s="1"/>
  <c r="F8" i="47" a="1"/>
  <c r="F8" i="47" s="1"/>
  <c r="E24" i="47" a="1"/>
  <c r="E24" i="47" s="1"/>
  <c r="C26" i="47" a="1"/>
  <c r="C26" i="47" s="1"/>
  <c r="D11" i="47" a="1"/>
  <c r="D11" i="47" s="1"/>
  <c r="I27" i="47" a="1"/>
  <c r="I27" i="47" s="1"/>
  <c r="F17" i="47" a="1"/>
  <c r="F17" i="47" s="1"/>
  <c r="E26" i="47" a="1"/>
  <c r="E26" i="47" s="1"/>
  <c r="I19" i="47" a="1"/>
  <c r="I19" i="47" s="1"/>
  <c r="H9" i="47" a="1"/>
  <c r="H9" i="47" s="1"/>
  <c r="I23" i="47" a="1"/>
  <c r="I23" i="47" s="1"/>
  <c r="C11" i="47" a="1"/>
  <c r="C11" i="47" s="1"/>
  <c r="I21" i="47" a="1"/>
  <c r="I21" i="47" s="1"/>
  <c r="F10" i="47" a="1"/>
  <c r="F10" i="47" s="1"/>
  <c r="G9" i="47" a="1"/>
  <c r="G9" i="47" s="1"/>
  <c r="D13" i="47" a="1"/>
  <c r="D13" i="47" s="1"/>
  <c r="F11" i="47" a="1"/>
  <c r="F11" i="47" s="1"/>
  <c r="G8" i="47" a="1"/>
  <c r="G8" i="47" s="1"/>
  <c r="B18" i="49" a="1"/>
  <c r="B18" i="49" s="1"/>
  <c r="B9" i="49" a="1"/>
  <c r="B9" i="49" s="1"/>
  <c r="F18" i="49" a="1"/>
  <c r="F18" i="49" s="1"/>
  <c r="D20" i="49" a="1"/>
  <c r="D20" i="49" s="1"/>
  <c r="B20" i="49" a="1"/>
  <c r="B20" i="49" s="1"/>
  <c r="B21" i="49" a="1"/>
  <c r="B21" i="49" s="1"/>
  <c r="C16" i="49" a="1"/>
  <c r="C16" i="49" s="1"/>
  <c r="F20" i="49" a="1"/>
  <c r="F20" i="49" s="1"/>
  <c r="D17" i="48" a="1"/>
  <c r="D17" i="48" s="1"/>
  <c r="E9" i="49" a="1"/>
  <c r="E9" i="49" s="1"/>
  <c r="C16" i="48" a="1"/>
  <c r="C16" i="48" s="1"/>
  <c r="F22" i="49" a="1"/>
  <c r="F22" i="49" s="1"/>
  <c r="C20" i="48" a="1"/>
  <c r="C20" i="48" s="1"/>
  <c r="G15" i="48" a="1"/>
  <c r="G15" i="48" s="1"/>
  <c r="B23" i="49" a="1"/>
  <c r="B23" i="49" s="1"/>
  <c r="G14" i="48" a="1"/>
  <c r="G14" i="48" s="1"/>
  <c r="D23" i="49" a="1"/>
  <c r="D23" i="49" s="1"/>
  <c r="E18" i="48" a="1"/>
  <c r="E18" i="48" s="1"/>
  <c r="G19" i="48" a="1"/>
  <c r="G19" i="48" s="1"/>
  <c r="D16" i="49" a="1"/>
  <c r="D16" i="49" s="1"/>
  <c r="C22" i="49" a="1"/>
  <c r="C22" i="49" s="1"/>
  <c r="C14" i="48" a="1"/>
  <c r="C14" i="48" s="1"/>
  <c r="G13" i="48" a="1"/>
  <c r="G13" i="48" s="1"/>
  <c r="F16" i="49" a="1"/>
  <c r="F16" i="49" s="1"/>
  <c r="F11" i="48" a="1"/>
  <c r="F11" i="48" s="1"/>
  <c r="B16" i="48" a="1"/>
  <c r="B16" i="48" s="1"/>
  <c r="C11" i="48" a="1"/>
  <c r="C11" i="48" s="1"/>
  <c r="E11" i="48" a="1"/>
  <c r="E11" i="48" s="1"/>
  <c r="F15" i="48" a="1"/>
  <c r="F15" i="48" s="1"/>
  <c r="G10" i="48" a="1"/>
  <c r="G10" i="48" s="1"/>
  <c r="E19" i="48" a="1"/>
  <c r="E19" i="48" s="1"/>
  <c r="E14" i="48" a="1"/>
  <c r="E14" i="48" s="1"/>
  <c r="B15" i="48" a="1"/>
  <c r="B15" i="48" s="1"/>
  <c r="F14" i="48" a="1"/>
  <c r="F14" i="48" s="1"/>
  <c r="B13" i="49" a="1"/>
  <c r="B13" i="49" s="1"/>
  <c r="E17" i="49" a="1"/>
  <c r="E17" i="49" s="1"/>
  <c r="G18" i="49" a="1"/>
  <c r="G18" i="49" s="1"/>
  <c r="B11" i="49" a="1"/>
  <c r="B11" i="49" s="1"/>
  <c r="F10" i="49" a="1"/>
  <c r="F10" i="49" s="1"/>
  <c r="E8" i="48" a="1"/>
  <c r="E8" i="48" s="1"/>
  <c r="D11" i="48" a="1"/>
  <c r="D11" i="48" s="1"/>
  <c r="F17" i="48" a="1"/>
  <c r="F17" i="48" s="1"/>
  <c r="B23" i="48" a="1"/>
  <c r="B23" i="48" s="1"/>
  <c r="F23" i="48" a="1"/>
  <c r="F23" i="48" s="1"/>
  <c r="B25" i="48" a="1"/>
  <c r="B25" i="48" s="1"/>
  <c r="F26" i="48" a="1"/>
  <c r="F26" i="48" s="1"/>
  <c r="F10" i="48" a="1"/>
  <c r="F10" i="48" s="1"/>
  <c r="B27" i="48" a="1"/>
  <c r="B27" i="48" s="1"/>
  <c r="D27" i="48" a="1"/>
  <c r="D27" i="48" s="1"/>
  <c r="D13" i="49" a="1"/>
  <c r="D13" i="49" s="1"/>
  <c r="E16" i="49" a="1"/>
  <c r="E16" i="49" s="1"/>
  <c r="D16" i="48" a="1"/>
  <c r="D16" i="48" s="1"/>
  <c r="G18" i="48" a="1"/>
  <c r="G18" i="48" s="1"/>
  <c r="D11" i="49" a="1"/>
  <c r="D11" i="49" s="1"/>
  <c r="C21" i="49" a="1"/>
  <c r="C21" i="49" s="1"/>
  <c r="E20" i="48" a="1"/>
  <c r="E20" i="48" s="1"/>
  <c r="D14" i="48" a="1"/>
  <c r="D14" i="48" s="1"/>
  <c r="G27" i="48" a="1"/>
  <c r="G27" i="48" s="1"/>
  <c r="E14" i="49" a="1"/>
  <c r="E14" i="49" s="1"/>
  <c r="F8" i="49" a="1"/>
  <c r="F8" i="49" s="1"/>
  <c r="E21" i="49" a="1"/>
  <c r="E21" i="49" s="1"/>
  <c r="C14" i="49" a="1"/>
  <c r="C14" i="49" s="1"/>
  <c r="G22" i="49" a="1"/>
  <c r="G22" i="49" s="1"/>
  <c r="C11" i="49" a="1"/>
  <c r="C11" i="49" s="1"/>
  <c r="C23" i="49" a="1"/>
  <c r="C23" i="49" s="1"/>
  <c r="G9" i="49" a="1"/>
  <c r="G9" i="49" s="1"/>
  <c r="E24" i="49" a="1"/>
  <c r="E24" i="49" s="1"/>
  <c r="G13" i="49" a="1"/>
  <c r="G13" i="49" s="1"/>
  <c r="G21" i="49" a="1"/>
  <c r="G21" i="49" s="1"/>
  <c r="D18" i="49" a="1"/>
  <c r="D18" i="49" s="1"/>
  <c r="E10" i="48" a="1"/>
  <c r="E10" i="48" s="1"/>
  <c r="F18" i="48" a="1"/>
  <c r="F18" i="48" s="1"/>
  <c r="F8" i="48" a="1"/>
  <c r="F8" i="48" s="1"/>
  <c r="B19" i="48" a="1"/>
  <c r="B19" i="48" s="1"/>
  <c r="C21" i="48" a="1"/>
  <c r="C21" i="48" s="1"/>
  <c r="F15" i="49" a="1"/>
  <c r="F15" i="49" s="1"/>
  <c r="B19" i="49" a="1"/>
  <c r="B19" i="49" s="1"/>
  <c r="E23" i="49" a="1"/>
  <c r="E23" i="49" s="1"/>
  <c r="G20" i="48" a="1"/>
  <c r="G20" i="48" s="1"/>
  <c r="D19" i="48" a="1"/>
  <c r="D19" i="48" s="1"/>
  <c r="C22" i="48" a="1"/>
  <c r="C22" i="48" s="1"/>
  <c r="F13" i="49" a="1"/>
  <c r="F13" i="49" s="1"/>
  <c r="F19" i="49" a="1"/>
  <c r="F19" i="49" s="1"/>
  <c r="C24" i="49" a="1"/>
  <c r="C24" i="49" s="1"/>
  <c r="B20" i="48" a="1"/>
  <c r="B20" i="48" s="1"/>
  <c r="G22" i="48" a="1"/>
  <c r="G22" i="48" s="1"/>
  <c r="D22" i="48" a="1"/>
  <c r="D22" i="48" s="1"/>
  <c r="C27" i="48" a="1"/>
  <c r="C27" i="48" s="1"/>
  <c r="B18" i="48" a="1"/>
  <c r="B18" i="48" s="1"/>
  <c r="F19" i="48" a="1"/>
  <c r="F19" i="48" s="1"/>
  <c r="E22" i="48" a="1"/>
  <c r="E22" i="48" s="1"/>
  <c r="B22" i="48" a="1"/>
  <c r="B22" i="48" s="1"/>
  <c r="G25" i="48" a="1"/>
  <c r="G25" i="48" s="1"/>
  <c r="F16" i="48" a="1"/>
  <c r="F16" i="48" s="1"/>
  <c r="F22" i="48" a="1"/>
  <c r="F22" i="48" s="1"/>
  <c r="E27" i="48" a="1"/>
  <c r="E27" i="48" s="1"/>
  <c r="F11" i="49" a="1"/>
  <c r="F11" i="49" s="1"/>
  <c r="D21" i="49" a="1"/>
  <c r="D21" i="49" s="1"/>
  <c r="G23" i="49" a="1"/>
  <c r="G23" i="49" s="1"/>
  <c r="B24" i="48" a="1"/>
  <c r="B24" i="48" s="1"/>
  <c r="D10" i="48" a="1"/>
  <c r="D10" i="48" s="1"/>
  <c r="B26" i="49" a="1"/>
  <c r="B26" i="49" s="1"/>
  <c r="G11" i="48" a="1"/>
  <c r="G11" i="48" s="1"/>
  <c r="D24" i="48" a="1"/>
  <c r="D24" i="48" s="1"/>
  <c r="C25" i="48" a="1"/>
  <c r="C25" i="48" s="1"/>
  <c r="C10" i="48" a="1"/>
  <c r="C10" i="48" s="1"/>
  <c r="G12" i="49" a="1"/>
  <c r="G12" i="49" s="1"/>
  <c r="D26" i="49" a="1"/>
  <c r="D26" i="49" s="1"/>
  <c r="C27" i="49" a="1"/>
  <c r="C27" i="49" s="1"/>
  <c r="F13" i="48" a="1"/>
  <c r="F13" i="48" s="1"/>
  <c r="C23" i="48" a="1"/>
  <c r="C23" i="48" s="1"/>
  <c r="E13" i="49" a="1"/>
  <c r="E13" i="49" s="1"/>
  <c r="G26" i="49" a="1"/>
  <c r="G26" i="49" s="1"/>
  <c r="B10" i="48" a="1"/>
  <c r="B10" i="48" s="1"/>
  <c r="F24" i="48" a="1"/>
  <c r="F24" i="48" s="1"/>
  <c r="E25" i="48" a="1"/>
  <c r="E25" i="48" s="1"/>
  <c r="F9" i="48" a="1"/>
  <c r="F9" i="48" s="1"/>
  <c r="E12" i="49" a="1"/>
  <c r="E12" i="49" s="1"/>
  <c r="F26" i="49" a="1"/>
  <c r="F26" i="49" s="1"/>
  <c r="D8" i="48" a="1"/>
  <c r="D8" i="48" s="1"/>
  <c r="C12" i="49" a="1"/>
  <c r="C12" i="49" s="1"/>
  <c r="B27" i="49" a="1"/>
  <c r="B27" i="49" s="1"/>
  <c r="E9" i="48" a="1"/>
  <c r="E9" i="48" s="1"/>
  <c r="D25" i="48" a="1"/>
  <c r="D25" i="48" s="1"/>
  <c r="C26" i="48" a="1"/>
  <c r="C26" i="48" s="1"/>
  <c r="G11" i="49" a="1"/>
  <c r="G11" i="49" s="1"/>
  <c r="F27" i="49" a="1"/>
  <c r="F27" i="49" s="1"/>
  <c r="C9" i="48" a="1"/>
  <c r="C9" i="48" s="1"/>
  <c r="D26" i="48" a="1"/>
  <c r="D26" i="48" s="1"/>
  <c r="G26" i="48" a="1"/>
  <c r="G26" i="48" s="1"/>
  <c r="B8" i="48" a="1"/>
  <c r="B8" i="48" s="1"/>
  <c r="E11" i="49" a="1"/>
  <c r="E11" i="49" s="1"/>
  <c r="B16" i="49" a="1"/>
  <c r="B16" i="49" s="1"/>
  <c r="D23" i="48" a="1"/>
  <c r="D23" i="48" s="1"/>
  <c r="C19" i="48" a="1"/>
  <c r="C19" i="48" s="1"/>
  <c r="E26" i="48" a="1"/>
  <c r="E26" i="48" s="1"/>
  <c r="B11" i="48" a="1"/>
  <c r="B11" i="48" s="1"/>
  <c r="D12" i="49" a="1"/>
  <c r="D12" i="49" s="1"/>
  <c r="C13" i="49" a="1"/>
  <c r="C13" i="49" s="1"/>
  <c r="D19" i="49" a="1"/>
  <c r="D19" i="49" s="1"/>
  <c r="D27" i="49" a="1"/>
  <c r="D27" i="49" s="1"/>
  <c r="E22" i="49" a="1"/>
  <c r="E22" i="49" s="1"/>
  <c r="D15" i="48" a="1"/>
  <c r="D15" i="48" s="1"/>
  <c r="D18" i="48" a="1"/>
  <c r="D18" i="48" s="1"/>
  <c r="F25" i="48" a="1"/>
  <c r="F25" i="48" s="1"/>
  <c r="E21" i="48" a="1"/>
  <c r="E21" i="48" s="1"/>
  <c r="E15" i="48" a="1"/>
  <c r="E15" i="48" s="1"/>
  <c r="D9" i="48" a="1"/>
  <c r="D9" i="48" s="1"/>
  <c r="B10" i="49" a="1"/>
  <c r="B10" i="49" s="1"/>
  <c r="G10" i="49" a="1"/>
  <c r="G10" i="49" s="1"/>
  <c r="F21" i="49" a="1"/>
  <c r="F21" i="49" s="1"/>
  <c r="G16" i="49" a="1"/>
  <c r="G16" i="49" s="1"/>
  <c r="G24" i="49" a="1"/>
  <c r="G24" i="49" s="1"/>
  <c r="B26" i="48" a="1"/>
  <c r="B26" i="48" s="1"/>
  <c r="G21" i="48" a="1"/>
  <c r="G21" i="48" s="1"/>
  <c r="C15" i="48" a="1"/>
  <c r="C15" i="48" s="1"/>
  <c r="B9" i="48" a="1"/>
  <c r="B9" i="48" s="1"/>
  <c r="F9" i="49" a="1"/>
  <c r="F9" i="49" s="1"/>
  <c r="E10" i="49" a="1"/>
  <c r="E10" i="49" s="1"/>
  <c r="B22" i="49" a="1"/>
  <c r="B22" i="49" s="1"/>
  <c r="B17" i="49" a="1"/>
  <c r="B17" i="49" s="1"/>
  <c r="C26" i="49" a="1"/>
  <c r="C26" i="49" s="1"/>
  <c r="D9" i="49" a="1"/>
  <c r="D9" i="49" s="1"/>
  <c r="C10" i="49" a="1"/>
  <c r="C10" i="49" s="1"/>
  <c r="D22" i="49" a="1"/>
  <c r="D22" i="49" s="1"/>
  <c r="C17" i="49" a="1"/>
  <c r="C17" i="49" s="1"/>
  <c r="E26" i="49" a="1"/>
  <c r="E26" i="49" s="1"/>
  <c r="C9" i="49" a="1"/>
  <c r="C9" i="49" s="1"/>
  <c r="E27" i="49" a="1"/>
  <c r="E27" i="49" s="1"/>
  <c r="E13" i="48" a="1"/>
  <c r="E13" i="48" s="1"/>
  <c r="D8" i="49" a="1"/>
  <c r="D8" i="49" s="1"/>
  <c r="B8" i="49" a="1"/>
  <c r="B8" i="49" s="1"/>
  <c r="G23" i="48" a="1"/>
  <c r="G23" i="48" s="1"/>
  <c r="F24" i="49" a="1"/>
  <c r="F24" i="49" s="1"/>
  <c r="D13" i="48" a="1"/>
  <c r="D13" i="48" s="1"/>
  <c r="D15" i="49" a="1"/>
  <c r="D15" i="49" s="1"/>
  <c r="E19" i="49" a="1"/>
  <c r="E19" i="49" s="1"/>
  <c r="B13" i="48" a="1"/>
  <c r="B13" i="48" s="1"/>
  <c r="C13" i="48" a="1"/>
  <c r="C13" i="48" s="1"/>
  <c r="G15" i="49" a="1"/>
  <c r="G15" i="49" s="1"/>
  <c r="F12" i="48" a="1"/>
  <c r="F12" i="48" s="1"/>
  <c r="B17" i="48" a="1"/>
  <c r="B17" i="48" s="1"/>
  <c r="C24" i="48" a="1"/>
  <c r="C24" i="48" s="1"/>
  <c r="G12" i="48" a="1"/>
  <c r="G12" i="48" s="1"/>
  <c r="F14" i="49" a="1"/>
  <c r="F14" i="49" s="1"/>
  <c r="E15" i="49" a="1"/>
  <c r="E15" i="49" s="1"/>
  <c r="C8" i="49" a="1"/>
  <c r="C8" i="49" s="1"/>
  <c r="B25" i="49" a="1"/>
  <c r="B25" i="49" s="1"/>
  <c r="C20" i="49" a="1"/>
  <c r="C20" i="49" s="1"/>
  <c r="D20" i="48" a="1"/>
  <c r="D20" i="48" s="1"/>
  <c r="E23" i="48" a="1"/>
  <c r="E23" i="48" s="1"/>
  <c r="F23" i="49" a="1"/>
  <c r="F23" i="49" s="1"/>
  <c r="G27" i="49" a="1"/>
  <c r="G27" i="49" s="1"/>
  <c r="G16" i="48" a="1"/>
  <c r="G16" i="48" s="1"/>
  <c r="B15" i="49" a="1"/>
  <c r="B15" i="49" s="1"/>
  <c r="G19" i="49" a="1"/>
  <c r="G19" i="49" s="1"/>
  <c r="D12" i="48" a="1"/>
  <c r="D12" i="48" s="1"/>
  <c r="C17" i="48" a="1"/>
  <c r="C17" i="48" s="1"/>
  <c r="E24" i="48" a="1"/>
  <c r="E24" i="48" s="1"/>
  <c r="E12" i="48" a="1"/>
  <c r="E12" i="48" s="1"/>
  <c r="D14" i="49" a="1"/>
  <c r="D14" i="49" s="1"/>
  <c r="C15" i="49" a="1"/>
  <c r="C15" i="49" s="1"/>
  <c r="D17" i="49" a="1"/>
  <c r="D17" i="49" s="1"/>
  <c r="D25" i="49" a="1"/>
  <c r="D25" i="49" s="1"/>
  <c r="E20" i="49" a="1"/>
  <c r="E20" i="49" s="1"/>
  <c r="C19" i="49" a="1"/>
  <c r="C19" i="49" s="1"/>
  <c r="F27" i="48" a="1"/>
  <c r="F27" i="48" s="1"/>
  <c r="G8" i="49" a="1"/>
  <c r="G8" i="49" s="1"/>
  <c r="F20" i="48" a="1"/>
  <c r="F20" i="48" s="1"/>
  <c r="E8" i="49" a="1"/>
  <c r="E8" i="49" s="1"/>
  <c r="B21" i="48" a="1"/>
  <c r="B21" i="48" s="1"/>
  <c r="D21" i="48" a="1"/>
  <c r="D21" i="48" s="1"/>
  <c r="B12" i="48" a="1"/>
  <c r="B12" i="48" s="1"/>
  <c r="F21" i="48" a="1"/>
  <c r="F21" i="48" s="1"/>
  <c r="E17" i="48" a="1"/>
  <c r="E17" i="48" s="1"/>
  <c r="G24" i="48" a="1"/>
  <c r="G24" i="48" s="1"/>
  <c r="C12" i="48" a="1"/>
  <c r="C12" i="48" s="1"/>
  <c r="B14" i="49" a="1"/>
  <c r="B14" i="49" s="1"/>
  <c r="G14" i="49" a="1"/>
  <c r="G14" i="49" s="1"/>
  <c r="F17" i="49" a="1"/>
  <c r="F17" i="49" s="1"/>
  <c r="F25" i="49" a="1"/>
  <c r="F25" i="49" s="1"/>
  <c r="G20" i="49" a="1"/>
  <c r="G20" i="49" s="1"/>
  <c r="D9" i="47" a="1"/>
  <c r="D9" i="47" s="1"/>
  <c r="B8" i="47" a="1"/>
  <c r="B8" i="47" s="1"/>
  <c r="H26" i="47" a="1"/>
  <c r="H26" i="47" s="1"/>
  <c r="G17" i="49" a="1"/>
  <c r="G17" i="49" s="1"/>
  <c r="C25" i="49" a="1"/>
  <c r="C25" i="49" s="1"/>
  <c r="B24" i="49" a="1"/>
  <c r="B24" i="49" s="1"/>
  <c r="C18" i="49" a="1"/>
  <c r="C18" i="49" s="1"/>
  <c r="E25" i="49" a="1"/>
  <c r="E25" i="49" s="1"/>
  <c r="D24" i="49" a="1"/>
  <c r="D24" i="49" s="1"/>
  <c r="E18" i="49" a="1"/>
  <c r="E18" i="49" s="1"/>
  <c r="S59" i="43"/>
  <c r="R59" i="43"/>
  <c r="Q59" i="43"/>
  <c r="P59" i="43"/>
  <c r="O59" i="43"/>
  <c r="N59" i="43"/>
  <c r="M59" i="43"/>
  <c r="L59" i="43"/>
  <c r="K59" i="43"/>
  <c r="J59" i="43"/>
  <c r="I59" i="43"/>
  <c r="H59" i="43"/>
  <c r="G59" i="43"/>
  <c r="F59" i="43"/>
  <c r="E59" i="43"/>
  <c r="D59" i="43"/>
  <c r="C59" i="43"/>
  <c r="P48" i="43"/>
  <c r="O48" i="43"/>
  <c r="N48" i="43"/>
  <c r="L48" i="43"/>
  <c r="K48" i="43"/>
  <c r="J48" i="43"/>
  <c r="H48" i="43"/>
  <c r="G48" i="43"/>
  <c r="F48" i="43"/>
  <c r="E48" i="43"/>
  <c r="D48" i="43"/>
  <c r="M47" i="43"/>
  <c r="I47" i="43"/>
  <c r="C47" i="43"/>
  <c r="M46" i="43"/>
  <c r="I46" i="43"/>
  <c r="C46" i="43"/>
  <c r="M45" i="43"/>
  <c r="I45" i="43"/>
  <c r="C45" i="43"/>
  <c r="M44" i="43"/>
  <c r="I44" i="43"/>
  <c r="C44" i="43"/>
  <c r="M43" i="43"/>
  <c r="I43" i="43"/>
  <c r="C43" i="43"/>
  <c r="M38" i="43"/>
  <c r="L38" i="43"/>
  <c r="K38" i="43"/>
  <c r="J38" i="43"/>
  <c r="H38" i="43"/>
  <c r="G38" i="43"/>
  <c r="F38" i="43"/>
  <c r="E38" i="43"/>
  <c r="D38" i="43"/>
  <c r="I37" i="43"/>
  <c r="C37" i="43"/>
  <c r="I36" i="43"/>
  <c r="C36" i="43"/>
  <c r="I35" i="43"/>
  <c r="C35" i="43"/>
  <c r="I34" i="43"/>
  <c r="C34" i="43"/>
  <c r="I33" i="43"/>
  <c r="C33" i="43"/>
  <c r="P28" i="43"/>
  <c r="O28" i="43"/>
  <c r="N28" i="43"/>
  <c r="M28" i="43"/>
  <c r="K28" i="43"/>
  <c r="J28" i="43"/>
  <c r="I28" i="43"/>
  <c r="H28" i="43"/>
  <c r="F28" i="43"/>
  <c r="E28" i="43"/>
  <c r="D28" i="43"/>
  <c r="C28" i="43"/>
  <c r="Q27" i="43"/>
  <c r="L27" i="43"/>
  <c r="G27" i="43"/>
  <c r="Q26" i="43"/>
  <c r="L26" i="43"/>
  <c r="G26" i="43"/>
  <c r="Q25" i="43"/>
  <c r="L25" i="43"/>
  <c r="G25" i="43"/>
  <c r="Q24" i="43"/>
  <c r="L24" i="43"/>
  <c r="G24" i="43"/>
  <c r="Q23" i="43"/>
  <c r="L23" i="43"/>
  <c r="U17" i="43"/>
  <c r="T17" i="43"/>
  <c r="S17" i="43"/>
  <c r="R17" i="43"/>
  <c r="P17" i="43"/>
  <c r="O17" i="43"/>
  <c r="N17" i="43"/>
  <c r="M17" i="43"/>
  <c r="K17" i="43"/>
  <c r="J17" i="43"/>
  <c r="I17" i="43"/>
  <c r="H17" i="43"/>
  <c r="F17" i="43"/>
  <c r="E17" i="43"/>
  <c r="D17" i="43"/>
  <c r="C17" i="43"/>
  <c r="V16" i="43"/>
  <c r="Q16" i="43"/>
  <c r="L16" i="43"/>
  <c r="G16" i="43"/>
  <c r="V15" i="43"/>
  <c r="Q15" i="43"/>
  <c r="L15" i="43"/>
  <c r="G15" i="43"/>
  <c r="V14" i="43"/>
  <c r="Q14" i="43"/>
  <c r="L14" i="43"/>
  <c r="G14" i="43"/>
  <c r="V13" i="43"/>
  <c r="Q13" i="43"/>
  <c r="L13" i="43"/>
  <c r="G13" i="43"/>
  <c r="V12" i="43"/>
  <c r="Q12" i="43"/>
  <c r="L12" i="43"/>
  <c r="G12" i="43"/>
  <c r="S69" i="42"/>
  <c r="R69" i="42"/>
  <c r="Q69" i="42"/>
  <c r="P69" i="42"/>
  <c r="O69" i="42"/>
  <c r="N69" i="42"/>
  <c r="M69" i="42"/>
  <c r="L69" i="42"/>
  <c r="K69" i="42"/>
  <c r="J69" i="42"/>
  <c r="I69" i="42"/>
  <c r="H69" i="42"/>
  <c r="G69" i="42"/>
  <c r="F69" i="42"/>
  <c r="E69" i="42"/>
  <c r="D69" i="42"/>
  <c r="C69" i="42"/>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O32" i="42"/>
  <c r="N32" i="42"/>
  <c r="M32" i="42"/>
  <c r="K32" i="42"/>
  <c r="J32" i="42"/>
  <c r="I32" i="42"/>
  <c r="H32" i="42"/>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P19" i="42"/>
  <c r="O19" i="42"/>
  <c r="N19" i="42"/>
  <c r="M19" i="42"/>
  <c r="K19" i="42"/>
  <c r="J19" i="42"/>
  <c r="I19" i="42"/>
  <c r="H19" i="42"/>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V8" i="51" s="1"/>
  <c r="X28" i="44"/>
  <c r="V7" i="51" s="1"/>
  <c r="P48" i="44"/>
  <c r="O48" i="44"/>
  <c r="N48" i="44"/>
  <c r="L48" i="44"/>
  <c r="K48" i="44"/>
  <c r="J48" i="44"/>
  <c r="H48" i="44"/>
  <c r="G48" i="44"/>
  <c r="F48" i="44"/>
  <c r="E48" i="44"/>
  <c r="D48" i="44"/>
  <c r="M47" i="44"/>
  <c r="I47" i="44"/>
  <c r="C47" i="44"/>
  <c r="M46" i="44"/>
  <c r="I46" i="44"/>
  <c r="C46" i="44"/>
  <c r="M45" i="44"/>
  <c r="I45" i="44"/>
  <c r="C45" i="44"/>
  <c r="M44" i="44"/>
  <c r="I44" i="44"/>
  <c r="C44" i="44"/>
  <c r="M43" i="44"/>
  <c r="I43" i="44"/>
  <c r="C43" i="44"/>
  <c r="M38" i="44"/>
  <c r="L38" i="44"/>
  <c r="K38" i="44"/>
  <c r="J38" i="44"/>
  <c r="H38" i="44"/>
  <c r="G38" i="44"/>
  <c r="F38" i="44"/>
  <c r="E38" i="44"/>
  <c r="D38" i="44"/>
  <c r="I37" i="44"/>
  <c r="C37" i="44"/>
  <c r="I36" i="44"/>
  <c r="C36" i="44"/>
  <c r="I35" i="44"/>
  <c r="C35" i="44"/>
  <c r="I34" i="44"/>
  <c r="C34" i="44"/>
  <c r="I33" i="44"/>
  <c r="C33" i="44"/>
  <c r="P28" i="44"/>
  <c r="O28" i="44"/>
  <c r="N28" i="44"/>
  <c r="M28" i="44"/>
  <c r="K28" i="44"/>
  <c r="J28" i="44"/>
  <c r="I28" i="44"/>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G17" i="43" l="1"/>
  <c r="G32" i="42"/>
  <c r="L32" i="42"/>
  <c r="V28" i="43"/>
  <c r="N7" i="51" s="1"/>
  <c r="C38" i="44"/>
  <c r="V28" i="42"/>
  <c r="F7" i="51" s="1"/>
  <c r="Q17" i="43"/>
  <c r="G28" i="43"/>
  <c r="Q28" i="43"/>
  <c r="C38" i="43"/>
  <c r="D40" i="45"/>
  <c r="AD6" i="51" s="1"/>
  <c r="C56" i="42"/>
  <c r="C44" i="42"/>
  <c r="I44" i="42"/>
  <c r="V27" i="43"/>
  <c r="N9" i="51" s="1"/>
  <c r="C48" i="44"/>
  <c r="V19" i="42"/>
  <c r="Q32" i="42"/>
  <c r="L19" i="42"/>
  <c r="L17" i="43"/>
  <c r="L28" i="44"/>
  <c r="I14" i="21"/>
  <c r="I23" i="21"/>
  <c r="H27" i="21"/>
  <c r="G27" i="21"/>
  <c r="Q19" i="42"/>
  <c r="F27" i="21"/>
  <c r="V17" i="43"/>
  <c r="E27" i="21"/>
  <c r="D27" i="21"/>
  <c r="V29" i="42"/>
  <c r="F8" i="51" s="1"/>
  <c r="L28" i="43"/>
  <c r="C27" i="21"/>
  <c r="I38" i="44"/>
  <c r="I48" i="44"/>
  <c r="I10" i="21"/>
  <c r="B27" i="21"/>
  <c r="I20" i="21"/>
  <c r="D39" i="45"/>
  <c r="I48" i="43"/>
  <c r="I56" i="42"/>
  <c r="I38" i="43"/>
  <c r="V27" i="42"/>
  <c r="F9" i="51" s="1"/>
  <c r="V17" i="44"/>
  <c r="G19" i="42"/>
  <c r="M56" i="42"/>
  <c r="V29" i="43"/>
  <c r="N8" i="51" s="1"/>
  <c r="I17" i="21"/>
  <c r="M48" i="43"/>
  <c r="C48" i="43"/>
  <c r="Q28" i="44"/>
  <c r="G28" i="44"/>
  <c r="AA17" i="44"/>
  <c r="L17" i="44"/>
  <c r="G17" i="44"/>
  <c r="M48" i="44"/>
  <c r="Q17" i="44"/>
  <c r="X27" i="44"/>
  <c r="V9" i="51" s="1"/>
  <c r="V25" i="43" l="1"/>
  <c r="N5" i="51" s="1"/>
  <c r="X26" i="44"/>
  <c r="V6" i="51" s="1"/>
  <c r="V26" i="42"/>
  <c r="F6" i="51" s="1"/>
  <c r="V25" i="42"/>
  <c r="F5" i="51" s="1"/>
  <c r="D45" i="45"/>
  <c r="AD4" i="51" s="1"/>
  <c r="AD5" i="51"/>
  <c r="I27" i="21"/>
  <c r="V26" i="43"/>
  <c r="X25" i="44"/>
  <c r="V5" i="51" s="1"/>
  <c r="V31" i="42" l="1"/>
  <c r="F4" i="51" s="1"/>
  <c r="V31" i="43"/>
  <c r="N4" i="51" s="1"/>
  <c r="N6" i="51"/>
  <c r="B4" i="51"/>
  <c r="B5" i="51"/>
  <c r="X31" i="44"/>
  <c r="V4" i="51" s="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3" i="26" l="1"/>
  <c r="C27" i="27"/>
  <c r="G17" i="27"/>
  <c r="G26" i="26"/>
  <c r="G23" i="27"/>
  <c r="G14" i="27"/>
  <c r="G10" i="26"/>
  <c r="B30" i="26"/>
  <c r="F30" i="26"/>
  <c r="E30" i="26"/>
  <c r="G10" i="27"/>
  <c r="B27" i="27"/>
  <c r="D30" i="26"/>
  <c r="G17" i="26"/>
  <c r="G20" i="26"/>
  <c r="G20" i="27"/>
  <c r="F27" i="27"/>
  <c r="C30" i="26"/>
  <c r="E27" i="27"/>
  <c r="D27" i="27"/>
  <c r="Z4" i="51"/>
  <c r="Z5" i="51"/>
  <c r="G27" i="27" l="1"/>
  <c r="R4" i="51" s="1"/>
  <c r="G30" i="26"/>
  <c r="R5" i="51" l="1"/>
  <c r="J4" i="51"/>
  <c r="J5" i="51"/>
  <c r="B1" i="5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<sst xmlns="http://schemas.openxmlformats.org/spreadsheetml/2006/main" count="1260" uniqueCount="449">
  <si>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</si>
  <si>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</si>
  <si>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</si>
  <si>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</si>
  <si>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</si>
  <si>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</si>
  <si>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</si>
  <si>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</si>
  <si>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</si>
  <si>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</si>
  <si>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</si>
  <si>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</si>
  <si>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</si>
  <si>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</si>
  <si>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</si>
  <si>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</si>
  <si>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</si>
  <si>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</si>
  <si>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</si>
  <si>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</si>
  <si>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</si>
  <si>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</si>
  <si>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</si>
  <si>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</si>
  <si>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</si>
  <si>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</si>
  <si>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</si>
  <si>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</si>
  <si>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</si>
  <si>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</si>
  <si>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</si>
  <si>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</si>
  <si>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</si>
  <si>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</si>
  <si>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</si>
  <si>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</si>
  <si>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</si>
  <si>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</si>
  <si>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</si>
  <si>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</si>
  <si>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</si>
  <si>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</si>
  <si>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</si>
  <si>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</si>
  <si>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</si>
  <si>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</si>
  <si>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</si>
  <si>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</si>
  <si>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</si>
  <si>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</si>
  <si>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</si>
  <si>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</si>
  <si>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</si>
  <si>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</si>
  <si>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</si>
  <si>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</si>
  <si>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</si>
  <si>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</si>
  <si>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</si>
  <si>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</si>
  <si>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</si>
  <si>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</si>
  <si>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</si>
  <si>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</si>
  <si>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</si>
  <si>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</si>
  <si>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</si>
  <si>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</si>
  <si>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</si>
  <si>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</si>
  <si>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</si>
  <si>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</si>
  <si>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</si>
  <si>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</si>
  <si>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</si>
  <si>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</si>
  <si>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</si>
  <si>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</si>
  <si>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</si>
  <si>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</si>
  <si>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</si>
  <si>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</si>
  <si>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</si>
  <si>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</si>
  <si>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</si>
  <si>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</si>
  <si>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</si>
  <si>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</si>
  <si>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</si>
  <si>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</si>
  <si>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</si>
  <si>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</si>
  <si>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</si>
  <si>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</si>
  <si>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</si>
  <si>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</si>
  <si>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</si>
  <si>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</si>
  <si>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</si>
  <si>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</si>
  <si>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</si>
  <si>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</si>
  <si>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</si>
  <si>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</si>
  <si>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</si>
  <si>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</si>
  <si>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</si>
  <si>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</si>
  <si>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</si>
  <si>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</si>
  <si>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</si>
  <si>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</si>
  <si>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</si>
  <si>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</si>
  <si>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</si>
  <si>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</si>
  <si>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</si>
  <si>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</si>
  <si>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</si>
  <si>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</si>
  <si>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</si>
  <si>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</si>
  <si>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</si>
  <si>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</si>
  <si>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</si>
  <si>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</si>
  <si>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</si>
  <si>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</si>
  <si>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</si>
  <si>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</si>
  <si>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</si>
  <si>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</si>
  <si>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</si>
  <si>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</si>
  <si>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</si>
  <si>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</si>
  <si>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</si>
  <si>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</si>
  <si>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</si>
  <si>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</si>
  <si>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</si>
  <si>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</si>
  <si>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</si>
  <si>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</si>
  <si>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</si>
  <si>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</si>
  <si>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</si>
  <si>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</si>
  <si>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</si>
  <si>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</si>
  <si>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</si>
  <si>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</si>
  <si>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</si>
  <si>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</si>
  <si>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</si>
  <si>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</si>
  <si>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</si>
  <si>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</si>
  <si>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</si>
  <si>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</si>
  <si>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</si>
  <si>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</si>
  <si>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</si>
  <si>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</si>
  <si>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</si>
  <si>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</si>
  <si>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</si>
  <si>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</si>
  <si>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</si>
  <si>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</si>
  <si>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</si>
  <si>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</si>
  <si>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</si>
  <si>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</si>
  <si>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</si>
  <si>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</si>
  <si>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</si>
  <si>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</si>
  <si>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</si>
  <si>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</si>
  <si>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</si>
  <si>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</si>
  <si>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</si>
  <si>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</si>
  <si>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</si>
  <si>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</si>
  <si>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</si>
  <si>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</si>
  <si>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</si>
  <si>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</si>
  <si>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</si>
  <si>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</si>
  <si>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</si>
  <si>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</si>
  <si>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</si>
  <si>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</si>
  <si>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</si>
  <si>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</si>
  <si>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</si>
  <si>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</si>
  <si>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</si>
  <si>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</si>
  <si>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</si>
  <si>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</si>
  <si>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</si>
  <si>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</si>
  <si>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</si>
  <si>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</si>
  <si>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</si>
  <si>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</si>
  <si>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</si>
  <si>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</si>
  <si>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</si>
  <si>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</si>
  <si>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</si>
  <si>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</si>
  <si>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</si>
  <si>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</si>
  <si>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</si>
  <si>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</si>
  <si>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</si>
  <si>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</si>
  <si>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</si>
  <si>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</si>
  <si>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</si>
  <si>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</si>
  <si>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</si>
  <si>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</si>
  <si>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</si>
  <si>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</si>
  <si>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</si>
  <si>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</si>
  <si>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</si>
  <si>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</si>
  <si>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</si>
  <si>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</si>
  <si>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</si>
  <si>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</si>
  <si>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</si>
  <si>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</si>
  <si>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</si>
  <si>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</si>
  <si>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</si>
  <si>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</si>
  <si>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</si>
  <si>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</si>
  <si>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</si>
  <si>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</si>
  <si>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</si>
  <si>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</si>
  <si>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</si>
  <si>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</si>
  <si>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</si>
  <si>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</si>
  <si>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</si>
  <si>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</si>
  <si>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</si>
  <si>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</si>
  <si>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</si>
  <si>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</si>
  <si>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</si>
  <si>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</si>
  <si>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</si>
  <si>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</si>
  <si>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</si>
  <si>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</si>
  <si>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</si>
  <si>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</si>
  <si>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</si>
  <si>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</si>
  <si>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</si>
  <si>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</si>
  <si>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</si>
  <si>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</si>
  <si>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</si>
  <si>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</si>
  <si>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</si>
  <si>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</si>
  <si>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</si>
  <si>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</si>
  <si>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</si>
  <si>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</si>
  <si>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</si>
  <si>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</si>
  <si>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</si>
  <si>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</si>
  <si>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</si>
  <si>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</si>
  <si>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</si>
  <si>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</si>
  <si>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</si>
  <si>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</si>
  <si>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</si>
  <si>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</si>
  <si>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</si>
  <si>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</si>
  <si>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</si>
  <si>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</si>
  <si>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</si>
  <si>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</si>
  <si>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</si>
  <si>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</si>
  <si>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</si>
  <si>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</si>
  <si>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</si>
  <si>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</si>
  <si>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</si>
  <si>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</si>
  <si>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</si>
  <si>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</si>
  <si>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</si>
  <si>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</si>
  <si>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</si>
  <si>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</si>
  <si>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</si>
  <si>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</si>
  <si>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</si>
  <si>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</si>
  <si>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</si>
  <si>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</si>
  <si>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</si>
  <si>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</si>
  <si>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</si>
  <si>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</si>
  <si>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</si>
  <si>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</si>
  <si>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</si>
  <si>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</si>
  <si>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</si>
  <si>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</si>
  <si>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</si>
  <si>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</si>
  <si>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</si>
  <si>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</si>
  <si>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</si>
  <si>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</si>
  <si>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</si>
  <si>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</si>
  <si>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</si>
  <si>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</si>
  <si>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</si>
  <si>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</si>
  <si>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</si>
  <si>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</si>
  <si>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</si>
  <si>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</si>
  <si>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</si>
  <si>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</si>
  <si>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</si>
  <si>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</si>
  <si>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</si>
  <si>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</si>
  <si>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</si>
  <si>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</si>
  <si>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</si>
  <si>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</si>
  <si>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</si>
  <si>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</si>
  <si>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</si>
  <si>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</si>
  <si>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</si>
  <si>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</si>
  <si>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</si>
  <si>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</si>
  <si>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</si>
  <si>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</si>
  <si>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</si>
  <si>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</si>
  <si>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</si>
  <si>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</si>
  <si>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</si>
  <si>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</si>
  <si>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</si>
  <si>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</si>
  <si>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</si>
  <si>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</si>
  <si>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</si>
  <si>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</si>
  <si>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</si>
  <si>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</si>
  <si>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</si>
  <si>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</si>
  <si>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</si>
  <si>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</si>
  <si>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</si>
  <si>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</si>
  <si>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</si>
  <si>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</si>
  <si>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</si>
  <si>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</si>
  <si>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</si>
  <si>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</si>
  <si>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</si>
  <si>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</si>
  <si>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</si>
  <si>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</si>
  <si>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</si>
  <si>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</si>
  <si>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</si>
  <si>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</si>
  <si>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</si>
  <si>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</si>
  <si>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</si>
  <si>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</si>
  <si>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</si>
  <si>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</si>
  <si>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</si>
  <si>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</si>
  <si>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</si>
  <si>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</si>
  <si>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</si>
  <si>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</si>
  <si>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</si>
  <si>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</si>
  <si>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</si>
  <si>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</si>
  <si>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</si>
  <si>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</si>
  <si>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</si>
  <si>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</si>
  <si>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</si>
  <si>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</si>
  <si>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</si>
  <si>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</si>
  <si>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</si>
  <si>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</si>
  <si>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</si>
  <si>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</si>
  <si>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</si>
  <si>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</si>
  <si>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</si>
  <si>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</si>
  <si>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</si>
  <si>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</si>
  <si>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</si>
  <si>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</si>
  <si>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</si>
  <si>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</si>
  <si>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</si>
  <si>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</si>
  <si>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</si>
  <si>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</si>
  <si>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</si>
  <si>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</si>
  <si>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</si>
  <si>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</si>
  <si>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t>Please record if a person had died in the period 1 April 2025 to 31 March 2026.</t>
  </si>
  <si>
    <t>From the data collection in 2025 (data for 2025/26), the ethnicity categories aligned to the central government Analysis Function ethnicity harmonisation standard.</t>
  </si>
  <si>
    <r>
      <t xml:space="preserve">Please complete by </t>
    </r>
    <r>
      <rPr>
        <b/>
        <sz val="11"/>
        <color rgb="FF0070C0"/>
        <rFont val="Arial"/>
        <family val="2"/>
      </rPr>
      <t xml:space="preserve">Friday 12 June 2026 </t>
    </r>
    <r>
      <rPr>
        <b/>
        <sz val="11"/>
        <rFont val="Arial"/>
        <family val="2"/>
      </rPr>
      <t>and send the spreadsheet by e-mail to: FireStatistics@communities.gov.uk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</si>
</sst>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fif"/></Relationships>
</file>

<file path=xl/drawings/_rels/drawing2.xml.rels><?xml version="1.0" encoding="UTF-8" standalone="yes"?>
<Relationships xmlns="http://schemas.openxmlformats.org/package/2006/relationships"><Relationship Id="rId1" Type="http://schemas.openxmlformats.org/officeDocument/2006/relationships/image" Target="../media/image1.jfif"/></Relationships>
</file>

<file path=xl/drawings/_rels/drawing3.xml.rels><?xml version="1.0" encoding="UTF-8" standalone="yes"?>
<Relationships xmlns="http://schemas.openxmlformats.org/package/2006/relationships"><Relationship Id="rId1" Type="http://schemas.openxmlformats.org/officeDocument/2006/relationships/image" Target="../media/image1.jfif"/></Relationships>
</file>

<file path=xl/drawings/_rels/drawing4.xml.rels><?xml version="1.0" encoding="UTF-8" standalone="yes"?>
<Relationships xmlns="http://schemas.openxmlformats.org/package/2006/relationships"><Relationship Id="rId1" Type="http://schemas.openxmlformats.org/officeDocument/2006/relationships/image" Target="../media/image1.jfif"/></Relationships>
</file>

<file path=xl/drawings/_rels/drawing5.xml.rels><?xml version="1.0" encoding="UTF-8" standalone="yes"?>
<Relationships xmlns="http://schemas.openxmlformats.org/package/2006/relationships"><Relationship Id="rId1" Type="http://schemas.openxmlformats.org/officeDocument/2006/relationships/image" Target="../media/image1.jfif"/></Relationships>
</file>

<file path=xl/drawings/_rels/drawing6.xml.rels><?xml version="1.0" encoding="UTF-8" standalone="yes"?>
<Relationships xmlns="http://schemas.openxmlformats.org/package/2006/relationships"><Relationship Id="rId1" Type="http://schemas.openxmlformats.org/officeDocument/2006/relationships/image" Target="../media/image1.jfif"/></Relationships>
</file>

<file path=xl/drawings/_rels/drawing7.xml.rels><?xml version="1.0" encoding="UTF-8" standalone="yes"?>
<Relationships xmlns="http://schemas.openxmlformats.org/package/2006/relationships"><Relationship Id="rId1" Type="http://schemas.openxmlformats.org/officeDocument/2006/relationships/image" Target="../media/image1.jfif"/></Relationships>
</file>

<file path=xl/drawings/_rels/drawing8.xml.rels><?xml version="1.0" encoding="UTF-8" standalone="yes"?>
<Relationships xmlns="http://schemas.openxmlformats.org/package/2006/relationships"><Relationship Id="rId1" Type="http://schemas.openxmlformats.org/officeDocument/2006/relationships/image" Target="../media/image1.jfif"/></Relationships>
</file>

<file path=xl/drawings/_rels/drawing9.xml.rels><?xml version="1.0" encoding="UTF-8" standalone="yes"?>
<Relationships xmlns="http://schemas.openxmlformats.org/package/2006/relationships"><Relationship Id="rId1" Type="http://schemas.openxmlformats.org/officeDocument/2006/relationships/image" Target="../media/image1.jfif"/></Relationships>
</file>

<file path=xl/drawings/drawing1.xml><?xml version="1.0" encoding="utf-8"?>
<xdr:wsDr xmlns:xdr="http://schemas.openxmlformats.org/drawingml/2006/spreadsheetDrawing" xmlns:a="http://schemas.openxmlformats.org/drawingml/2006/main">
  <xdr:oneCellAnchor>
    <xdr:from>
      <xdr:col>0</xdr:col>
      <xdr:colOff>22411</xdr:colOff>
      <xdr:row>0</xdr:row>
      <xdr:rowOff>22413</xdr:rowOff>
    </xdr:from>
    <xdr:ext cx="1685191" cy="876300"/>
    <xdr:pic>
      <xdr:nvPicPr>
        <xdr:cNvPr id="2" name="Picture 2" descr="Ministry of Housing, Communities and Local Government logo">
          <a:extLst>
            <a:ext uri="{FF2B5EF4-FFF2-40B4-BE49-F238E27FC236}">
              <a16:creationId xmlns:a16="http://schemas.microsoft.com/office/drawing/2014/main" id="{A47B6887-6EA6-4EBF-BF8F-CF1F7075A929}"/>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2411" y="22413"/>
          <a:ext cx="1685191" cy="876300"/>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68036</xdr:colOff>
      <xdr:row>0</xdr:row>
      <xdr:rowOff>54428</xdr:rowOff>
    </xdr:from>
    <xdr:ext cx="1685191" cy="876300"/>
    <xdr:pic>
      <xdr:nvPicPr>
        <xdr:cNvPr id="3" name="Picture 2" descr="Ministry of Housing, Communities and Local Government logo">
          <a:extLst>
            <a:ext uri="{FF2B5EF4-FFF2-40B4-BE49-F238E27FC236}">
              <a16:creationId xmlns:a16="http://schemas.microsoft.com/office/drawing/2014/main" id="{902F2999-C5D8-4279-A371-7264BC0CA81D}"/>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8036" y="54428"/>
          <a:ext cx="1685191" cy="876300"/>
        </a:xfrm>
        <a:prstGeom prst="rect">
          <a:avLst/>
        </a:prstGeom>
        <a:noFill/>
        <a:ln cap="flat">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64861</xdr:colOff>
      <xdr:row>0</xdr:row>
      <xdr:rowOff>54428</xdr:rowOff>
    </xdr:from>
    <xdr:ext cx="1685191" cy="876300"/>
    <xdr:pic>
      <xdr:nvPicPr>
        <xdr:cNvPr id="3" name="Picture 2" descr="Ministry of Housing, Communities and Local Government logo">
          <a:extLst>
            <a:ext uri="{FF2B5EF4-FFF2-40B4-BE49-F238E27FC236}">
              <a16:creationId xmlns:a16="http://schemas.microsoft.com/office/drawing/2014/main" id="{8D544A04-42E8-4F8A-8D57-47BB5EF2BEC5}"/>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4861" y="54428"/>
          <a:ext cx="1685191" cy="876300"/>
        </a:xfrm>
        <a:prstGeom prst="rect">
          <a:avLst/>
        </a:prstGeom>
        <a:noFill/>
        <a:ln cap="flat">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68036</xdr:colOff>
      <xdr:row>0</xdr:row>
      <xdr:rowOff>54428</xdr:rowOff>
    </xdr:from>
    <xdr:ext cx="1685191" cy="876300"/>
    <xdr:pic>
      <xdr:nvPicPr>
        <xdr:cNvPr id="3" name="Picture 2" descr="Ministry of Housing, Communities and Local Government logo">
          <a:extLst>
            <a:ext uri="{FF2B5EF4-FFF2-40B4-BE49-F238E27FC236}">
              <a16:creationId xmlns:a16="http://schemas.microsoft.com/office/drawing/2014/main" id="{93090194-50AC-4CD7-BF1A-029D9EC71759}"/>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8036" y="54428"/>
          <a:ext cx="1685191" cy="876300"/>
        </a:xfrm>
        <a:prstGeom prst="rect">
          <a:avLst/>
        </a:prstGeom>
        <a:noFill/>
        <a:ln cap="flat">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64861</xdr:colOff>
      <xdr:row>0</xdr:row>
      <xdr:rowOff>54428</xdr:rowOff>
    </xdr:from>
    <xdr:ext cx="1685191" cy="876300"/>
    <xdr:pic>
      <xdr:nvPicPr>
        <xdr:cNvPr id="3" name="Picture 2" descr="Ministry of Housing, Communities and Local Government logo">
          <a:extLst>
            <a:ext uri="{FF2B5EF4-FFF2-40B4-BE49-F238E27FC236}">
              <a16:creationId xmlns:a16="http://schemas.microsoft.com/office/drawing/2014/main" id="{1E1F0907-6751-4B38-8356-DFFD88CD36F6}"/>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4861" y="54428"/>
          <a:ext cx="1685191" cy="876300"/>
        </a:xfrm>
        <a:prstGeom prst="rect">
          <a:avLst/>
        </a:prstGeom>
        <a:noFill/>
        <a:ln cap="flat">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68036</xdr:colOff>
      <xdr:row>0</xdr:row>
      <xdr:rowOff>54428</xdr:rowOff>
    </xdr:from>
    <xdr:ext cx="1685191" cy="876300"/>
    <xdr:pic>
      <xdr:nvPicPr>
        <xdr:cNvPr id="3" name="Picture 2" descr="Ministry of Housing, Communities and Local Government logo">
          <a:extLst>
            <a:ext uri="{FF2B5EF4-FFF2-40B4-BE49-F238E27FC236}">
              <a16:creationId xmlns:a16="http://schemas.microsoft.com/office/drawing/2014/main" id="{8F7E9114-2D6E-4FFB-95E3-67FAE6119A18}"/>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8036" y="54428"/>
          <a:ext cx="1685191" cy="876300"/>
        </a:xfrm>
        <a:prstGeom prst="rect">
          <a:avLst/>
        </a:prstGeom>
        <a:noFill/>
        <a:ln cap="flat">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64861</xdr:colOff>
      <xdr:row>0</xdr:row>
      <xdr:rowOff>54428</xdr:rowOff>
    </xdr:from>
    <xdr:ext cx="1685191" cy="876300"/>
    <xdr:pic>
      <xdr:nvPicPr>
        <xdr:cNvPr id="3" name="Picture 2" descr="Ministry of Housing, Communities and Local Government logo">
          <a:extLst>
            <a:ext uri="{FF2B5EF4-FFF2-40B4-BE49-F238E27FC236}">
              <a16:creationId xmlns:a16="http://schemas.microsoft.com/office/drawing/2014/main" id="{371C750A-5D8D-40B5-8F7A-3373B3722FC6}"/>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4861" y="54428"/>
          <a:ext cx="1685191" cy="876300"/>
        </a:xfrm>
        <a:prstGeom prst="rect">
          <a:avLst/>
        </a:prstGeom>
        <a:noFill/>
        <a:ln cap="flat">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68036</xdr:colOff>
      <xdr:row>0</xdr:row>
      <xdr:rowOff>54428</xdr:rowOff>
    </xdr:from>
    <xdr:ext cx="1685191" cy="876300"/>
    <xdr:pic>
      <xdr:nvPicPr>
        <xdr:cNvPr id="3" name="Picture 2" descr="Ministry of Housing, Communities and Local Government logo">
          <a:extLst>
            <a:ext uri="{FF2B5EF4-FFF2-40B4-BE49-F238E27FC236}">
              <a16:creationId xmlns:a16="http://schemas.microsoft.com/office/drawing/2014/main" id="{FE52A0A7-3F18-44FF-95D6-9B2F1998BB08}"/>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8036" y="54428"/>
          <a:ext cx="1685191" cy="876300"/>
        </a:xfrm>
        <a:prstGeom prst="rect">
          <a:avLst/>
        </a:prstGeom>
        <a:noFill/>
        <a:ln cap="flat">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64861</xdr:colOff>
      <xdr:row>0</xdr:row>
      <xdr:rowOff>54428</xdr:rowOff>
    </xdr:from>
    <xdr:ext cx="1685191" cy="876300"/>
    <xdr:pic>
      <xdr:nvPicPr>
        <xdr:cNvPr id="3" name="Picture 2" descr="Ministry of Housing, Communities and Local Government logo">
          <a:extLst>
            <a:ext uri="{FF2B5EF4-FFF2-40B4-BE49-F238E27FC236}">
              <a16:creationId xmlns:a16="http://schemas.microsoft.com/office/drawing/2014/main" id="{31A41E4F-D0A9-4F9D-9475-0C555B7725B5}"/>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4861" y="54428"/>
          <a:ext cx="1685191" cy="876300"/>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29" sqref="A29"/>
    </sheetView>
  </sheetViews>
  <sheetFormatPr defaultColWidth="9.26953125" defaultRowHeight="15" customHeight="1"/>
  <cols>
    <col min="1" max="1" width="17.7265625" style="28" customWidth="1"/>
    <col min="2" max="2" width="20.54296875" style="28" customWidth="1"/>
    <col min="3" max="3" width="34.26953125" style="28" customWidth="1"/>
    <col min="4" max="6" width="20.7265625" style="28" customWidth="1"/>
    <col min="7" max="7" width="3.54296875" style="28" hidden="1" customWidth="1"/>
    <col min="8" max="9" width="18.54296875" style="28" customWidth="1"/>
    <col min="10" max="16384" width="9.269531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49999999999999"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5" customHeight="1" thickBot="1"/>
    <row r="10" spans="1:9" ht="25.15" customHeight="1" thickBot="1">
      <c r="A10" s="286" t="str">
        <f>VLOOKUP(B250,B251:D316,2,FALSE)</f>
        <v>North West Fire Control</v>
      </c>
      <c r="B10" s="287"/>
      <c r="C10" s="287"/>
      <c r="D10" s="287"/>
      <c r="E10" s="287"/>
      <c r="F10" s="288"/>
    </row>
    <row r="11" spans="1:9" ht="18" customHeight="1" thickBot="1">
      <c r="A11" s="289" t="str">
        <f>VLOOKUP(B250,B251:D316,3,FALSE)</f>
        <v>NWFC</v>
      </c>
      <c r="B11" s="290"/>
      <c r="C11" s="290"/>
      <c r="D11" s="290"/>
      <c r="E11" s="290"/>
      <c r="F11" s="291"/>
    </row>
    <row r="12" spans="1:9" ht="8.15" customHeight="1"/>
    <row r="13" spans="1:9" ht="8.15"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
    <row r="25" spans="1:9" ht="14">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448</v>
      </c>
      <c r="B28" s="308"/>
      <c r="C28" s="308"/>
      <c r="D28" s="308"/>
      <c r="E28" s="308"/>
      <c r="F28" s="308"/>
      <c r="G28" s="35"/>
      <c r="H28" s="35"/>
      <c r="I28" s="35"/>
    </row>
    <row r="29" spans="1:9" ht="8.15"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45</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6953125" defaultRowHeight="12.5"/>
  <cols>
    <col min="1" max="1" width="48.453125" style="5" customWidth="1"/>
    <col min="2" max="2" width="5.7265625" style="5" customWidth="1"/>
    <col min="3" max="3" width="85.7265625" style="5" customWidth="1"/>
    <col min="4" max="4" width="9.26953125" style="5"/>
    <col min="5" max="5" width="8.54296875" style="5" bestFit="1" customWidth="1"/>
    <col min="6" max="6" width="7.54296875" style="5" bestFit="1" customWidth="1"/>
    <col min="7" max="16384" width="9.269531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5" customHeight="1">
      <c r="A31" s="229"/>
      <c r="B31" s="229"/>
      <c r="C31" s="227" t="s">
        <v>160</v>
      </c>
    </row>
    <row r="32" spans="1:4" ht="87" customHeight="1">
      <c r="A32" s="229"/>
      <c r="B32" s="229"/>
      <c r="C32" s="227" t="s">
        <v>161</v>
      </c>
    </row>
    <row r="33" spans="1:13" ht="39.65" customHeight="1">
      <c r="A33" s="226" t="s">
        <v>162</v>
      </c>
      <c r="B33" s="226"/>
      <c r="C33" s="227" t="s">
        <v>163</v>
      </c>
      <c r="D33" s="43"/>
    </row>
    <row r="34" spans="1:13" ht="54.65" customHeight="1">
      <c r="A34" s="226" t="s">
        <v>164</v>
      </c>
      <c r="B34" s="226"/>
      <c r="C34" s="227" t="s">
        <v>165</v>
      </c>
      <c r="D34" s="43"/>
    </row>
    <row r="35" spans="1:13" ht="38.5" customHeight="1">
      <c r="A35" s="226" t="s">
        <v>166</v>
      </c>
      <c r="B35" s="226"/>
      <c r="C35" s="228" t="s">
        <v>167</v>
      </c>
    </row>
    <row r="36" spans="1:13" ht="33" customHeight="1">
      <c r="A36" s="231" t="s">
        <v>168</v>
      </c>
      <c r="B36" s="231"/>
      <c r="C36" s="227" t="s">
        <v>169</v>
      </c>
    </row>
    <row r="37" spans="1:13" ht="39.65"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5"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446</v>
      </c>
    </row>
    <row r="45" spans="1:13" ht="45.65" customHeight="1">
      <c r="A45" s="310" t="s">
        <v>185</v>
      </c>
      <c r="B45" s="310"/>
      <c r="C45" s="310"/>
    </row>
    <row r="46" spans="1:13" ht="15.5">
      <c r="A46" s="236" t="s">
        <v>186</v>
      </c>
      <c r="B46" s="6"/>
      <c r="C46" s="6" t="s">
        <v>187</v>
      </c>
      <c r="D46" s="6"/>
      <c r="E46" s="6"/>
      <c r="F46" s="6"/>
      <c r="G46" s="6"/>
      <c r="H46" s="6"/>
      <c r="I46" s="6"/>
      <c r="J46" s="6"/>
      <c r="K46" s="6"/>
      <c r="L46" s="6"/>
      <c r="M46" s="6"/>
    </row>
    <row r="47" spans="1:13" ht="15.5">
      <c r="A47" s="6"/>
      <c r="B47" s="6"/>
      <c r="C47" s="6" t="s">
        <v>188</v>
      </c>
      <c r="D47" s="6"/>
      <c r="E47" s="6"/>
      <c r="F47" s="6"/>
      <c r="G47" s="6"/>
      <c r="H47" s="6"/>
      <c r="I47" s="6"/>
      <c r="J47" s="6"/>
      <c r="K47" s="6"/>
      <c r="L47" s="6"/>
      <c r="M47" s="6"/>
    </row>
    <row r="48" spans="1:13" ht="15.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1">
      <c r="A51" s="6"/>
      <c r="B51" s="247"/>
      <c r="C51" s="247" t="s">
        <v>193</v>
      </c>
      <c r="D51" s="247"/>
      <c r="E51" s="247"/>
      <c r="F51" s="247"/>
      <c r="G51" s="247"/>
      <c r="H51" s="247"/>
      <c r="I51" s="247"/>
      <c r="J51" s="247"/>
      <c r="K51" s="247"/>
      <c r="L51" s="247"/>
      <c r="M51" s="247"/>
    </row>
    <row r="52" spans="1:13" ht="43.9" customHeight="1">
      <c r="A52" s="237" t="s">
        <v>194</v>
      </c>
      <c r="B52" s="247"/>
      <c r="C52" s="247" t="s">
        <v>447</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5" customHeight="1">
      <c r="A54" s="50"/>
      <c r="B54" s="248"/>
      <c r="C54" s="248" t="s">
        <v>196</v>
      </c>
      <c r="D54" s="248"/>
      <c r="E54" s="248"/>
      <c r="F54" s="248"/>
      <c r="G54" s="248"/>
      <c r="H54" s="248"/>
      <c r="I54" s="248"/>
      <c r="J54" s="248"/>
      <c r="K54" s="248"/>
      <c r="L54" s="248"/>
      <c r="M54" s="6"/>
    </row>
    <row r="55" spans="1:13" ht="15.5">
      <c r="A55" s="50"/>
      <c r="B55" s="249"/>
      <c r="C55" s="246" t="s">
        <v>197</v>
      </c>
      <c r="D55" s="246"/>
      <c r="E55" s="246"/>
      <c r="F55" s="246"/>
      <c r="G55" s="246"/>
      <c r="H55" s="246"/>
      <c r="I55" s="246"/>
      <c r="J55" s="246"/>
      <c r="K55" s="246"/>
      <c r="L55" s="246"/>
      <c r="M55" s="6"/>
    </row>
    <row r="56" spans="1:13" ht="15.5">
      <c r="A56" s="50"/>
      <c r="B56" s="235"/>
      <c r="C56" s="50" t="s">
        <v>198</v>
      </c>
      <c r="D56" s="50"/>
      <c r="E56" s="50"/>
      <c r="F56" s="50"/>
      <c r="G56" s="50"/>
      <c r="H56" s="50"/>
      <c r="I56" s="50"/>
      <c r="J56" s="50"/>
      <c r="K56" s="50"/>
      <c r="L56" s="50"/>
      <c r="M56" s="6"/>
    </row>
    <row r="57" spans="1:13" ht="15.5">
      <c r="A57" s="50"/>
      <c r="B57" s="235"/>
      <c r="C57" s="50" t="s">
        <v>199</v>
      </c>
      <c r="D57" s="50"/>
      <c r="E57" s="50"/>
      <c r="F57" s="50"/>
      <c r="G57" s="50"/>
      <c r="H57" s="50"/>
      <c r="I57" s="50"/>
      <c r="J57" s="50"/>
      <c r="K57" s="50"/>
      <c r="L57" s="50"/>
      <c r="M57" s="6"/>
    </row>
    <row r="58" spans="1:13" ht="15.5">
      <c r="A58" s="50"/>
      <c r="B58" s="235"/>
      <c r="C58" s="50" t="s">
        <v>200</v>
      </c>
      <c r="D58" s="50"/>
      <c r="E58" s="50"/>
      <c r="F58" s="50"/>
      <c r="G58" s="50"/>
      <c r="H58" s="50"/>
      <c r="I58" s="50"/>
      <c r="J58" s="50"/>
      <c r="K58" s="50"/>
      <c r="L58" s="50"/>
      <c r="M58" s="6"/>
    </row>
    <row r="59" spans="1:13" ht="15.5">
      <c r="A59" s="50"/>
      <c r="B59" s="235"/>
      <c r="C59" s="50" t="s">
        <v>201</v>
      </c>
      <c r="D59" s="50"/>
      <c r="E59" s="50"/>
      <c r="F59" s="50"/>
      <c r="G59" s="50"/>
      <c r="H59" s="50"/>
      <c r="I59" s="50"/>
      <c r="J59" s="50"/>
      <c r="K59" s="50"/>
      <c r="L59" s="50"/>
      <c r="M59" s="6"/>
    </row>
    <row r="60" spans="1:13" ht="15.65" customHeight="1">
      <c r="A60" s="6"/>
      <c r="B60" s="248"/>
      <c r="C60" s="248" t="s">
        <v>202</v>
      </c>
      <c r="D60" s="248"/>
      <c r="E60" s="248"/>
      <c r="F60" s="248"/>
      <c r="G60" s="248"/>
      <c r="H60" s="248"/>
      <c r="I60" s="248"/>
      <c r="J60" s="248"/>
      <c r="K60" s="248"/>
      <c r="L60" s="248"/>
      <c r="M60" s="6"/>
    </row>
    <row r="61" spans="1:13" ht="15.5">
      <c r="A61" s="50"/>
      <c r="B61" s="249"/>
      <c r="C61" s="246" t="s">
        <v>203</v>
      </c>
      <c r="D61" s="246"/>
      <c r="E61" s="246"/>
      <c r="F61" s="246"/>
      <c r="G61" s="246"/>
      <c r="H61" s="246"/>
      <c r="I61" s="246"/>
      <c r="J61" s="246"/>
      <c r="K61" s="246"/>
      <c r="L61" s="246"/>
      <c r="M61" s="6"/>
    </row>
    <row r="62" spans="1:13" ht="15.5">
      <c r="A62" s="50"/>
      <c r="B62" s="235"/>
      <c r="C62" s="50" t="s">
        <v>204</v>
      </c>
      <c r="D62" s="50"/>
      <c r="E62" s="50"/>
      <c r="F62" s="50"/>
      <c r="G62" s="50"/>
      <c r="H62" s="50"/>
      <c r="I62" s="50"/>
      <c r="J62" s="50"/>
      <c r="K62" s="50"/>
      <c r="L62" s="50"/>
      <c r="M62" s="6"/>
    </row>
    <row r="63" spans="1:13" ht="15.5">
      <c r="A63" s="50"/>
      <c r="B63" s="235"/>
      <c r="C63" s="50" t="s">
        <v>205</v>
      </c>
      <c r="D63" s="50"/>
      <c r="E63" s="50"/>
      <c r="F63" s="50"/>
      <c r="G63" s="50"/>
      <c r="H63" s="50"/>
      <c r="I63" s="50"/>
      <c r="J63" s="50"/>
      <c r="K63" s="50"/>
      <c r="L63" s="50"/>
      <c r="M63" s="6"/>
    </row>
    <row r="64" spans="1:13" ht="15.5">
      <c r="A64" s="50"/>
      <c r="B64" s="235"/>
      <c r="C64" s="50" t="s">
        <v>206</v>
      </c>
      <c r="D64" s="50"/>
      <c r="E64" s="50"/>
      <c r="F64" s="50"/>
      <c r="G64" s="50"/>
      <c r="H64" s="50"/>
      <c r="I64" s="50"/>
      <c r="J64" s="50"/>
      <c r="K64" s="50"/>
      <c r="L64" s="50"/>
      <c r="M64" s="6"/>
    </row>
    <row r="65" spans="1:13" ht="15.65" customHeight="1">
      <c r="A65" s="6"/>
      <c r="B65" s="248"/>
      <c r="C65" s="248" t="s">
        <v>207</v>
      </c>
      <c r="D65" s="248"/>
      <c r="E65" s="248"/>
      <c r="F65" s="248"/>
      <c r="G65" s="248"/>
      <c r="H65" s="248"/>
      <c r="I65" s="248"/>
      <c r="J65" s="248"/>
      <c r="K65" s="248"/>
      <c r="L65" s="248"/>
      <c r="M65" s="6"/>
    </row>
    <row r="66" spans="1:13" ht="15.5">
      <c r="A66" s="50"/>
      <c r="B66" s="249"/>
      <c r="C66" s="246" t="s">
        <v>208</v>
      </c>
      <c r="D66" s="246"/>
      <c r="E66" s="246"/>
      <c r="F66" s="246"/>
      <c r="G66" s="246"/>
      <c r="H66" s="246"/>
      <c r="I66" s="246"/>
      <c r="J66" s="246"/>
      <c r="K66" s="246"/>
      <c r="L66" s="246"/>
      <c r="M66" s="6"/>
    </row>
    <row r="67" spans="1:13" ht="15.5">
      <c r="A67" s="50"/>
      <c r="B67" s="235"/>
      <c r="C67" s="50" t="s">
        <v>209</v>
      </c>
      <c r="D67" s="50"/>
      <c r="E67" s="50"/>
      <c r="F67" s="50"/>
      <c r="G67" s="50"/>
      <c r="H67" s="50"/>
      <c r="I67" s="50"/>
      <c r="J67" s="50"/>
      <c r="K67" s="50"/>
      <c r="L67" s="50"/>
      <c r="M67" s="6"/>
    </row>
    <row r="68" spans="1:13" ht="15.5">
      <c r="A68" s="50"/>
      <c r="B68" s="235"/>
      <c r="C68" s="50" t="s">
        <v>210</v>
      </c>
      <c r="D68" s="50"/>
      <c r="E68" s="50"/>
      <c r="F68" s="50"/>
      <c r="G68" s="50"/>
      <c r="H68" s="50"/>
      <c r="I68" s="50"/>
      <c r="J68" s="50"/>
      <c r="K68" s="50"/>
      <c r="L68" s="50"/>
      <c r="M68" s="6"/>
    </row>
    <row r="69" spans="1:13" ht="15.5">
      <c r="A69" s="50"/>
      <c r="B69" s="235"/>
      <c r="C69" s="50" t="s">
        <v>211</v>
      </c>
      <c r="D69" s="50"/>
      <c r="E69" s="50"/>
      <c r="F69" s="50"/>
      <c r="G69" s="50"/>
      <c r="H69" s="50"/>
      <c r="I69" s="50"/>
      <c r="J69" s="50"/>
      <c r="K69" s="50"/>
      <c r="L69" s="50"/>
      <c r="M69" s="6"/>
    </row>
    <row r="70" spans="1:13" ht="15.5">
      <c r="A70" s="50"/>
      <c r="B70" s="235"/>
      <c r="C70" s="50" t="s">
        <v>212</v>
      </c>
      <c r="D70" s="50"/>
      <c r="E70" s="50"/>
      <c r="F70" s="50"/>
      <c r="G70" s="50"/>
      <c r="H70" s="50"/>
      <c r="I70" s="50"/>
      <c r="J70" s="50"/>
      <c r="K70" s="50"/>
      <c r="L70" s="50"/>
      <c r="M70" s="6"/>
    </row>
    <row r="71" spans="1:13" ht="15.65" customHeight="1">
      <c r="A71" s="6"/>
      <c r="B71" s="248"/>
      <c r="C71" s="248" t="s">
        <v>213</v>
      </c>
      <c r="D71" s="248"/>
      <c r="E71" s="248"/>
      <c r="F71" s="248"/>
      <c r="G71" s="248"/>
      <c r="H71" s="248"/>
      <c r="I71" s="248"/>
      <c r="J71" s="248"/>
      <c r="K71" s="248"/>
      <c r="L71" s="248"/>
      <c r="M71" s="6"/>
    </row>
    <row r="72" spans="1:13" ht="15.5">
      <c r="A72" s="50"/>
      <c r="B72" s="249"/>
      <c r="C72" s="246" t="s">
        <v>214</v>
      </c>
      <c r="D72" s="246"/>
      <c r="E72" s="246"/>
      <c r="F72" s="246"/>
      <c r="G72" s="246"/>
      <c r="H72" s="246"/>
      <c r="I72" s="246"/>
      <c r="J72" s="246"/>
      <c r="K72" s="246"/>
      <c r="L72" s="246"/>
      <c r="M72" s="6"/>
    </row>
    <row r="73" spans="1:13" ht="15.5">
      <c r="A73" s="50"/>
      <c r="B73" s="235"/>
      <c r="C73" s="50" t="s">
        <v>215</v>
      </c>
      <c r="D73" s="50"/>
      <c r="E73" s="50"/>
      <c r="F73" s="50"/>
      <c r="G73" s="50"/>
      <c r="H73" s="50"/>
      <c r="I73" s="50"/>
      <c r="J73" s="50"/>
      <c r="K73" s="50"/>
      <c r="L73" s="50"/>
      <c r="M73" s="6"/>
    </row>
    <row r="74" spans="1:13" ht="15.5">
      <c r="A74" s="50"/>
      <c r="B74" s="235"/>
      <c r="C74" s="50" t="s">
        <v>216</v>
      </c>
      <c r="D74" s="50"/>
      <c r="E74" s="50"/>
      <c r="F74" s="50"/>
      <c r="G74" s="50"/>
      <c r="H74" s="50"/>
      <c r="I74" s="50"/>
      <c r="J74" s="50"/>
      <c r="K74" s="50"/>
      <c r="L74" s="50"/>
      <c r="M74" s="6"/>
    </row>
    <row r="75" spans="1:13" ht="15.65" customHeight="1">
      <c r="A75" s="6"/>
      <c r="B75" s="248"/>
      <c r="C75" s="248" t="s">
        <v>217</v>
      </c>
      <c r="D75" s="248"/>
      <c r="E75" s="248"/>
      <c r="F75" s="248"/>
      <c r="G75" s="248"/>
      <c r="H75" s="248"/>
      <c r="I75" s="248"/>
      <c r="J75" s="248"/>
      <c r="K75" s="248"/>
      <c r="L75" s="248"/>
      <c r="M75" s="6"/>
    </row>
    <row r="76" spans="1:13" ht="15.5">
      <c r="A76" s="50"/>
      <c r="B76" s="249"/>
      <c r="C76" s="246" t="s">
        <v>218</v>
      </c>
      <c r="D76" s="246"/>
      <c r="E76" s="246"/>
      <c r="F76" s="246"/>
      <c r="G76" s="246"/>
      <c r="H76" s="246"/>
      <c r="I76" s="246"/>
      <c r="J76" s="246"/>
      <c r="K76" s="246"/>
      <c r="L76" s="246"/>
      <c r="M76" s="6"/>
    </row>
    <row r="77" spans="1:13" ht="15.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5" customHeight="1">
      <c r="A80" s="237" t="s">
        <v>222</v>
      </c>
      <c r="B80" s="247"/>
      <c r="C80" s="247" t="s">
        <v>223</v>
      </c>
      <c r="D80" s="247"/>
      <c r="E80" s="247"/>
      <c r="F80" s="247"/>
      <c r="G80" s="247"/>
      <c r="H80" s="247"/>
      <c r="I80" s="247"/>
      <c r="J80" s="247"/>
      <c r="K80" s="247"/>
      <c r="L80" s="247"/>
      <c r="M80" s="6"/>
    </row>
    <row r="81" spans="1:13" ht="15.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5"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5"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5"/>
  <cols>
    <col min="3" max="3" width="13.453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5"/>
  <cols>
    <col min="1" max="1" width="66.453125" bestFit="1" customWidth="1"/>
    <col min="2" max="2" width="15.1796875" bestFit="1" customWidth="1"/>
    <col min="3" max="3" width="12.54296875" bestFit="1" customWidth="1"/>
    <col min="4" max="4" width="13.81640625" bestFit="1" customWidth="1"/>
    <col min="5" max="5" width="14.7265625" bestFit="1" customWidth="1"/>
    <col min="6" max="6" width="14.26953125" bestFit="1" customWidth="1"/>
    <col min="7" max="7" width="12.81640625" bestFit="1" customWidth="1"/>
  </cols>
  <sheetData>
    <row r="4" spans="1:9">
      <c r="C4" s="252" t="s">
        <v>253</v>
      </c>
      <c r="D4" s="253" t="str">
        <f>VLOOKUP(Cover!A6,Cover!B319:D331,2,FALSE)</f>
        <v>2024/25</v>
      </c>
      <c r="E4" s="254" t="str">
        <f>Cover!A10</f>
        <v>North West Fire Control</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6953125" defaultRowHeight="27" customHeight="1"/>
  <cols>
    <col min="1" max="1" width="73.54296875" style="1" bestFit="1" customWidth="1"/>
    <col min="2" max="9" width="17.54296875" style="2" customWidth="1"/>
    <col min="10" max="10" width="11.54296875" style="2" customWidth="1"/>
    <col min="11" max="41" width="24.26953125" style="2" customWidth="1"/>
    <col min="42" max="16384" width="24.269531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265625" defaultRowHeight="27" customHeight="1"/>
  <cols>
    <col min="1" max="1" width="16.7265625" style="1"/>
    <col min="2" max="2" width="0" style="2" hidden="1" customWidth="1"/>
    <col min="3" max="16384" width="16.726562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5"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49999999999999"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5"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5"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5"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5"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5"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5"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5"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49999999999999"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3">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3">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5.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5"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5"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5"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5"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5"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5"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5"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5"/>
  <cols>
    <col min="1" max="1" width="66.453125" bestFit="1" customWidth="1"/>
    <col min="2" max="2" width="15.1796875" bestFit="1" customWidth="1"/>
    <col min="3" max="3" width="12.54296875" bestFit="1" customWidth="1"/>
    <col min="4" max="4" width="13.81640625" bestFit="1" customWidth="1"/>
    <col min="5" max="5" width="14.7265625" bestFit="1" customWidth="1"/>
    <col min="6" max="6" width="14.26953125" bestFit="1" customWidth="1"/>
    <col min="7" max="7" width="12.81640625" bestFit="1" customWidth="1"/>
  </cols>
  <sheetData>
    <row r="4" spans="1:7">
      <c r="C4" s="252" t="s">
        <v>371</v>
      </c>
      <c r="D4" s="253" t="str">
        <f>VLOOKUP(Cover!A6,Cover!B319:D331,2,FALSE)</f>
        <v>2024/25</v>
      </c>
      <c r="E4" s="254" t="str">
        <f>Cover!A10</f>
        <v>North West Fire Control</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6953125" defaultRowHeight="27" customHeight="1"/>
  <cols>
    <col min="1" max="1" width="74.26953125" style="1" customWidth="1"/>
    <col min="2" max="7" width="17.54296875" style="2" customWidth="1"/>
    <col min="8" max="16384" width="24.269531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265625" defaultRowHeight="27" customHeight="1"/>
  <cols>
    <col min="1" max="1" width="16.7265625" style="1"/>
    <col min="2" max="2" width="0" style="2" hidden="1" customWidth="1"/>
    <col min="3" max="16384" width="16.726562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5"/>
  <cols>
    <col min="1" max="1" width="66.453125" bestFit="1" customWidth="1"/>
    <col min="2" max="2" width="15.1796875" bestFit="1" customWidth="1"/>
    <col min="3" max="3" width="12.54296875" bestFit="1" customWidth="1"/>
    <col min="4" max="4" width="13.81640625" bestFit="1" customWidth="1"/>
    <col min="5" max="5" width="14.7265625" bestFit="1" customWidth="1"/>
    <col min="6" max="6" width="14.26953125" bestFit="1" customWidth="1"/>
    <col min="7" max="7" width="12.81640625" bestFit="1" customWidth="1"/>
  </cols>
  <sheetData>
    <row r="4" spans="1:7">
      <c r="C4" s="252" t="s">
        <v>389</v>
      </c>
      <c r="D4" s="253" t="str">
        <f>VLOOKUP(Cover!A6,Cover!B319:D331,2,FALSE)</f>
        <v>2024/25</v>
      </c>
      <c r="E4" s="254" t="str">
        <f>Cover!A10</f>
        <v>North West Fire Control</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6953125" defaultRowHeight="27" customHeight="1"/>
  <cols>
    <col min="1" max="1" width="73.54296875" style="1" bestFit="1" customWidth="1"/>
    <col min="2" max="7" width="17.54296875" style="2" customWidth="1"/>
    <col min="8" max="16384" width="24.269531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265625" defaultRowHeight="27" customHeight="1"/>
  <cols>
    <col min="1" max="1" width="16.7265625" style="1"/>
    <col min="2" max="2" width="0" style="2" hidden="1" customWidth="1"/>
    <col min="3" max="16384" width="16.726562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5"/>
  <cols>
    <col min="1" max="1" width="66.453125" bestFit="1" customWidth="1"/>
    <col min="2" max="2" width="15.1796875" bestFit="1" customWidth="1"/>
    <col min="3" max="3" width="12.54296875" bestFit="1" customWidth="1"/>
    <col min="4" max="4" width="13.81640625" bestFit="1" customWidth="1"/>
    <col min="5" max="5" width="14.7265625" bestFit="1" customWidth="1"/>
    <col min="6" max="6" width="14.26953125" bestFit="1" customWidth="1"/>
    <col min="7" max="7" width="12.81640625" bestFit="1" customWidth="1"/>
  </cols>
  <sheetData>
    <row r="4" spans="1:5">
      <c r="C4" s="252" t="s">
        <v>404</v>
      </c>
      <c r="D4" s="253" t="str">
        <f>VLOOKUP(Cover!A6,Cover!B319:D331,2,FALSE)</f>
        <v>2024/25</v>
      </c>
      <c r="E4" s="254" t="str">
        <f>Cover!A10</f>
        <v>North West Fire Control</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zoomScale="80" zoomScaleNormal="80" workbookViewId="0">
      <selection activeCell="B8" sqref="B8:B9"/>
    </sheetView>
  </sheetViews>
  <sheetFormatPr defaultColWidth="24.26953125" defaultRowHeight="27" customHeight="1"/>
  <cols>
    <col min="1" max="1" width="73.54296875" style="1" bestFit="1" customWidth="1"/>
    <col min="2" max="2" width="17.54296875" style="2" customWidth="1"/>
    <col min="3" max="21" width="24.26953125" style="2" customWidth="1"/>
    <col min="22" max="16384" width="24.269531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6953125" defaultRowHeight="27" customHeight="1"/>
  <cols>
    <col min="1" max="1" width="16.7265625" style="1" customWidth="1"/>
    <col min="2" max="2" width="16.7265625" style="2" hidden="1" customWidth="1"/>
    <col min="3" max="32" width="16.7265625" style="2" customWidth="1"/>
    <col min="33" max="16384" width="24.269531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5"/>
  <cols>
    <col min="1" max="1" width="15.1796875" customWidth="1"/>
    <col min="5" max="5" width="18.26953125" customWidth="1"/>
    <col min="9" max="9" width="18.26953125" style="274" customWidth="1"/>
    <col min="13" max="13" width="18.453125" customWidth="1"/>
    <col min="17" max="17" width="18.1796875" customWidth="1"/>
    <col min="21" max="21" width="18.7265625" customWidth="1"/>
    <col min="25" max="25" width="18.1796875" customWidth="1"/>
    <col min="29" max="29" width="18.26953125" customWidth="1"/>
  </cols>
  <sheetData>
    <row r="1" spans="1:31" s="278" customFormat="1" ht="45.75" customHeight="1">
      <c r="A1" s="277" t="s">
        <v>421</v>
      </c>
      <c r="B1" s="278">
        <f>COUNTIF(4:9,"No, check notes and consider email to FRS") +COUNTIF(4:9,"Check") + COUNTIF(4:9,"&gt;0.5")</f>
        <v>0</v>
      </c>
    </row>
    <row r="3" spans="1:31" ht="14.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6953125" defaultRowHeight="12.5"/>
  <cols>
    <col min="1" max="1" width="23.81640625" style="71" customWidth="1"/>
    <col min="2" max="16384" width="9.26953125" style="71"/>
  </cols>
  <sheetData>
    <row r="1" spans="1:3" ht="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208C06-343D-4873-A6AC-FE3727F625F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2026-02-20T18:32:32Z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