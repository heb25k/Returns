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hclg-my.sharepoint.com/personal/katrina_ihebunezie_communities_gov_uk/Documents/Desktop/OS/"/>
    </mc:Choice>
  </mc:AlternateContent>
  <xr:revisionPtr revIDLastSave="5828" documentId="8_{D167FFF6-D94C-4102-B1B9-16298435C4CE}" xr6:coauthVersionLast="47" xr6:coauthVersionMax="47" xr10:uidLastSave="{C80C3749-946E-46B6-99FC-B669201CE00F}"/>
  <bookViews>
    <workbookView xWindow="-110" yWindow="-110" windowWidth="22780" windowHeight="14540" xr2:uid="{00000000-000D-0000-FFFF-FFFF00000000}"/>
  </bookViews>
  <sheets>
    <sheet name="Macro" sheetId="2" r:id="rId1"/>
  </sheets>
  <functionGroups builtInGroupCount="19"/>
  <definedNames>
    <definedName name="Contact">#REF!</definedName>
    <definedName name="Contact1">#REF!</definedName>
    <definedName name="CY">#REF!</definedName>
    <definedName name="Data">#REF!</definedName>
    <definedName name="Email">#REF!</definedName>
    <definedName name="FileLocation">#REF!</definedName>
    <definedName name="FP">#REF!</definedName>
    <definedName name="FS">#REF!</definedName>
    <definedName name="FY">#REF!</definedName>
    <definedName name="HR">#REF!</definedName>
    <definedName name="HS">#REF!</definedName>
    <definedName name="LE">#REF!</definedName>
    <definedName name="PrevYearID">#REF!</definedName>
    <definedName name="SendLoc">Macro!$B$1</definedName>
    <definedName name="VI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1" i="2" l="1"/>
  <c r="B4" i="2" l="1"/>
  <c r="I43" i="2" l="1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86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7" i="2"/>
  <c r="I42" i="2"/>
  <c r="B3" i="2" l="1"/>
</calcChain>
</file>

<file path=xl/sharedStrings.xml><?xml version="1.0" encoding="utf-8"?>
<sst xmlns="http://schemas.openxmlformats.org/spreadsheetml/2006/main" count="99" uniqueCount="99">
  <si>
    <t>The correct folder here&gt;&gt;&gt;&gt;&gt;&gt;</t>
  </si>
  <si>
    <t>C:\Users\KatrinaIhebunezie\OneDrive - MHCLG\Desktop\OS\</t>
  </si>
  <si>
    <t>The correct year here&gt;&gt;&gt;&gt;&gt;&gt;&gt;</t>
  </si>
  <si>
    <t>2025_26</t>
  </si>
  <si>
    <t>The number of FRSs should link here&gt;&gt;&gt;&gt;&gt;</t>
  </si>
  <si>
    <t>FRS_Name</t>
  </si>
  <si>
    <t>FRS_Number</t>
  </si>
  <si>
    <t>FRS Selector&gt;&gt;&gt;&gt;&gt;</t>
  </si>
  <si>
    <t>Avon</t>
  </si>
  <si>
    <t>E31000001</t>
  </si>
  <si>
    <t>Bedfordshire</t>
  </si>
  <si>
    <t>E31000002</t>
  </si>
  <si>
    <t>Berkshire</t>
  </si>
  <si>
    <t>E31000003</t>
  </si>
  <si>
    <t>Buckinghamshire</t>
  </si>
  <si>
    <t>E31000004</t>
  </si>
  <si>
    <t>Cambridgeshire</t>
  </si>
  <si>
    <t>E31000005</t>
  </si>
  <si>
    <t>Cheshire</t>
  </si>
  <si>
    <t>E31000006</t>
  </si>
  <si>
    <t>Cleveland</t>
  </si>
  <si>
    <t>E31000007</t>
  </si>
  <si>
    <t>Cornwall</t>
  </si>
  <si>
    <t>E31000008</t>
  </si>
  <si>
    <t>Cumbria</t>
  </si>
  <si>
    <t>E31000009</t>
  </si>
  <si>
    <t>Derbyshire</t>
  </si>
  <si>
    <t>E31000010</t>
  </si>
  <si>
    <t>Devon and Somerset</t>
  </si>
  <si>
    <t>E31000011</t>
  </si>
  <si>
    <t>Dorset and Wiltshire</t>
  </si>
  <si>
    <t>E31000047</t>
  </si>
  <si>
    <t>Durham</t>
  </si>
  <si>
    <t>E31000013</t>
  </si>
  <si>
    <t>East Sussex</t>
  </si>
  <si>
    <t>E31000014</t>
  </si>
  <si>
    <t>Essex</t>
  </si>
  <si>
    <t>E31000015</t>
  </si>
  <si>
    <t>Gloucestershire</t>
  </si>
  <si>
    <t>E31000016</t>
  </si>
  <si>
    <t>Greater London</t>
  </si>
  <si>
    <t>E31000046</t>
  </si>
  <si>
    <t>Greater Manchester</t>
  </si>
  <si>
    <t>E31000040</t>
  </si>
  <si>
    <t>Hampshire and Isle Of Wight</t>
  </si>
  <si>
    <t>E31000017</t>
  </si>
  <si>
    <t>Hereford and Worcester</t>
  </si>
  <si>
    <t>E31000018</t>
  </si>
  <si>
    <t>Hertfordshire</t>
  </si>
  <si>
    <t>E31000019</t>
  </si>
  <si>
    <t>Humberside</t>
  </si>
  <si>
    <t>E31000020</t>
  </si>
  <si>
    <t>Isles Of Scilly</t>
  </si>
  <si>
    <t>E31000039</t>
  </si>
  <si>
    <t>Kent</t>
  </si>
  <si>
    <t>E31000022</t>
  </si>
  <si>
    <t>Lancashire</t>
  </si>
  <si>
    <t>E31000023</t>
  </si>
  <si>
    <t>Leicestershire</t>
  </si>
  <si>
    <t>E31000024</t>
  </si>
  <si>
    <t>Lincolnshire</t>
  </si>
  <si>
    <t>E31000025</t>
  </si>
  <si>
    <t>Merseyside</t>
  </si>
  <si>
    <t>E31000041</t>
  </si>
  <si>
    <t>Norfolk</t>
  </si>
  <si>
    <t>E31000026</t>
  </si>
  <si>
    <t>North Yorkshire</t>
  </si>
  <si>
    <t>E31000027</t>
  </si>
  <si>
    <t>Northamptonshire</t>
  </si>
  <si>
    <t>E31000028</t>
  </si>
  <si>
    <t>Northumberland</t>
  </si>
  <si>
    <t>E31000029</t>
  </si>
  <si>
    <t>Nottinghamshire</t>
  </si>
  <si>
    <t>E31000030</t>
  </si>
  <si>
    <t>Oxfordshire</t>
  </si>
  <si>
    <t>E31000031</t>
  </si>
  <si>
    <t>Shropshire</t>
  </si>
  <si>
    <t>E31000032</t>
  </si>
  <si>
    <t>South Yorkshire</t>
  </si>
  <si>
    <t>E31000042</t>
  </si>
  <si>
    <t>Staffordshire</t>
  </si>
  <si>
    <t>E31000033</t>
  </si>
  <si>
    <t>Suffolk</t>
  </si>
  <si>
    <t>E31000034</t>
  </si>
  <si>
    <t>Surrey</t>
  </si>
  <si>
    <t>E31000035</t>
  </si>
  <si>
    <t>Tyne and Wear</t>
  </si>
  <si>
    <t>E31000043</t>
  </si>
  <si>
    <t>Warwickshire</t>
  </si>
  <si>
    <t>E31000036</t>
  </si>
  <si>
    <t>West Midlands</t>
  </si>
  <si>
    <t>E31000044</t>
  </si>
  <si>
    <t>West Sussex</t>
  </si>
  <si>
    <t>E31000037</t>
  </si>
  <si>
    <t>West Yorkshire</t>
  </si>
  <si>
    <t>E31000045</t>
  </si>
  <si>
    <t>North West Fire Control</t>
  </si>
  <si>
    <t>NWFC</t>
  </si>
  <si>
    <t>Template FRS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</si>
</sst>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6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3" fillId="0" borderId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2" fillId="2" borderId="0" xfId="1" applyFont="1" applyFill="1"/>
    <xf numFmtId="0" fontId="2" fillId="2" borderId="0" xfId="1" applyFont="1" applyFill="1" applyAlignment="1">
      <alignment horizontal="left"/>
    </xf>
    <xf numFmtId="0" fontId="2" fillId="3" borderId="0" xfId="1" applyFont="1" applyFill="1"/>
    <xf numFmtId="10" fontId="2" fillId="2" borderId="0" xfId="3" applyNumberFormat="1" applyFont="1" applyFill="1"/>
    <xf numFmtId="0" fontId="5" fillId="0" borderId="0" xfId="4"/>
    <xf numFmtId="0" fontId="6" fillId="2" borderId="0" xfId="1" applyFont="1" applyFill="1"/>
  </cellXfs>
  <cellStyles count="5">
    <cellStyle name="Hyperlink" xfId="4" builtinId="8"/>
    <cellStyle name="Normal" xfId="0" builtinId="0"/>
    <cellStyle name="Normal 2" xfId="1" xr:uid="{00000000-0005-0000-0000-000001000000}"/>
    <cellStyle name="Normal 3" xfId="2" xr:uid="{00000000-0005-0000-0000-000002000000}"/>
    <cellStyle name="Per cent" xfId="3" builtinId="5"/>
  </cellStyles>
  <dxfs count="0"/>
  <tableStyles count="0" defaultTableStyle="TableStyleMedium2" defaultPivotStyle="PivotStyleLight16"/>
  <colors>
    <mruColors>
      <color rgb="FFFFCCFF"/>
      <color rgb="FF604A7B"/>
      <color rgb="FF8F23B3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1619249</xdr:colOff>
      <xdr:row>7</xdr:row>
      <xdr:rowOff>19050</xdr:rowOff>
    </xdr:from>
    <xdr:to>
      <xdr:col>0</xdr:col>
      <xdr:colOff>2752724</xdr:colOff>
      <xdr:row>11</xdr:row>
      <xdr:rowOff>38100</xdr:rowOff>
    </xdr:to>
    <xdr:sp macro="[0]!HR_Copies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19249" y="1819275"/>
          <a:ext cx="1133475" cy="1047750"/>
        </a:xfrm>
        <a:prstGeom prst="flowChartAlternateProcess">
          <a:avLst/>
        </a:prstGeom>
        <a:solidFill>
          <a:srgbClr val="604A7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HR form and tidy</a:t>
          </a:r>
        </a:p>
      </xdr:txBody>
    </xdr:sp>
    <xdr:clientData/>
  </xdr:twoCellAnchor>
  <xdr:twoCellAnchor>
    <xdr:from>
      <xdr:col>0</xdr:col>
      <xdr:colOff>3095625</xdr:colOff>
      <xdr:row>14</xdr:row>
      <xdr:rowOff>0</xdr:rowOff>
    </xdr:from>
    <xdr:to>
      <xdr:col>1</xdr:col>
      <xdr:colOff>190500</xdr:colOff>
      <xdr:row>20</xdr:row>
      <xdr:rowOff>28575</xdr:rowOff>
    </xdr:to>
    <xdr:sp macro="[0]!VI_Copie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95625" y="3600450"/>
          <a:ext cx="1123950" cy="1571625"/>
        </a:xfrm>
        <a:prstGeom prst="flowChartAlternateProcess">
          <a:avLst/>
        </a:prstGeom>
        <a:solidFill>
          <a:srgbClr val="FFCCFF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 form and tidy</a:t>
          </a:r>
        </a:p>
      </xdr:txBody>
    </xdr:sp>
    <xdr:clientData/>
  </xdr:twoCellAnchor>
  <xdr:twoCellAnchor>
    <xdr:from>
      <xdr:col>0</xdr:col>
      <xdr:colOff>1400175</xdr:colOff>
      <xdr:row>11</xdr:row>
      <xdr:rowOff>85725</xdr:rowOff>
    </xdr:from>
    <xdr:to>
      <xdr:col>0</xdr:col>
      <xdr:colOff>2762249</xdr:colOff>
      <xdr:row>17</xdr:row>
      <xdr:rowOff>200025</xdr:rowOff>
    </xdr:to>
    <xdr:sp macro="[0]!LE_Copies" textlink="">
      <xdr:nvSpPr>
        <xdr:cNvPr id="5" name="Flowchart: Alternate Proces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00175" y="2914650"/>
          <a:ext cx="1362074" cy="1657350"/>
        </a:xfrm>
        <a:prstGeom prst="flowChartAlternateProcess">
          <a:avLst/>
        </a:prstGeom>
        <a:solidFill>
          <a:srgbClr val="CC99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LE form and tidy</a:t>
          </a:r>
        </a:p>
      </xdr:txBody>
    </xdr:sp>
    <xdr:clientData/>
  </xdr:twoCellAnchor>
  <xdr:twoCellAnchor>
    <xdr:from>
      <xdr:col>0</xdr:col>
      <xdr:colOff>2809875</xdr:colOff>
      <xdr:row>7</xdr:row>
      <xdr:rowOff>171450</xdr:rowOff>
    </xdr:from>
    <xdr:to>
      <xdr:col>1</xdr:col>
      <xdr:colOff>190500</xdr:colOff>
      <xdr:row>13</xdr:row>
      <xdr:rowOff>209550</xdr:rowOff>
    </xdr:to>
    <xdr:sp macro="[0]!HS_Copies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09875" y="1971675"/>
          <a:ext cx="1409700" cy="1581150"/>
        </a:xfrm>
        <a:prstGeom prst="flowChartAlternateProcess">
          <a:avLst/>
        </a:prstGeom>
        <a:solidFill>
          <a:srgbClr val="8F23B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HS form and tidy</a:t>
          </a:r>
        </a:p>
      </xdr:txBody>
    </xdr:sp>
    <xdr:clientData/>
  </xdr:twoCellAnchor>
  <xdr:twoCellAnchor>
    <xdr:from>
      <xdr:col>1</xdr:col>
      <xdr:colOff>228600</xdr:colOff>
      <xdr:row>10</xdr:row>
      <xdr:rowOff>57150</xdr:rowOff>
    </xdr:from>
    <xdr:to>
      <xdr:col>1</xdr:col>
      <xdr:colOff>1371600</xdr:colOff>
      <xdr:row>16</xdr:row>
      <xdr:rowOff>104775</xdr:rowOff>
    </xdr:to>
    <xdr:sp macro="[0]!FP_Copies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451350" y="2597150"/>
          <a:ext cx="1143000" cy="1571625"/>
        </a:xfrm>
        <a:prstGeom prst="flowChartAlternateProcess">
          <a:avLst/>
        </a:prstGeom>
        <a:solidFill>
          <a:schemeClr val="tx1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FP form and tidy</a:t>
          </a:r>
        </a:p>
      </xdr:txBody>
    </xdr:sp>
    <xdr:clientData/>
  </xdr:twoCellAnchor>
  <xdr:twoCellAnchor>
    <xdr:from>
      <xdr:col>0</xdr:col>
      <xdr:colOff>1895475</xdr:colOff>
      <xdr:row>18</xdr:row>
      <xdr:rowOff>19050</xdr:rowOff>
    </xdr:from>
    <xdr:to>
      <xdr:col>0</xdr:col>
      <xdr:colOff>3038475</xdr:colOff>
      <xdr:row>22</xdr:row>
      <xdr:rowOff>247650</xdr:rowOff>
    </xdr:to>
    <xdr:sp macro="[0]!FS_Copies" textlink="">
      <xdr:nvSpPr>
        <xdr:cNvPr id="9" name="Flowchart: Alternate Proces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95475" y="4648200"/>
          <a:ext cx="1143000" cy="1257300"/>
        </a:xfrm>
        <a:prstGeom prst="flowChartAlternateProcess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FS form and tidy</a:t>
          </a:r>
        </a:p>
      </xdr:txBody>
    </xdr:sp>
    <xdr:clientData/>
  </xdr:twoCellAnchor>
  <xdr:twoCellAnchor>
    <xdr:from>
      <xdr:col>0</xdr:col>
      <xdr:colOff>366712</xdr:colOff>
      <xdr:row>7</xdr:row>
      <xdr:rowOff>16669</xdr:rowOff>
    </xdr:from>
    <xdr:to>
      <xdr:col>0</xdr:col>
      <xdr:colOff>1500187</xdr:colOff>
      <xdr:row>11</xdr:row>
      <xdr:rowOff>35719</xdr:rowOff>
    </xdr:to>
    <xdr:sp macro="[0]!HR_Incomplete_Ethnicity_Copies" textlink="">
      <xdr:nvSpPr>
        <xdr:cNvPr id="6" name="Flowchart: Alternate Process 5">
          <a:extLst>
            <a:ext uri="{FF2B5EF4-FFF2-40B4-BE49-F238E27FC236}">
              <a16:creationId xmlns:a16="http://schemas.microsoft.com/office/drawing/2014/main" id="{C461290B-1A67-BD7E-5CB5-A1D2A64F8AE0}"/>
            </a:ext>
          </a:extLst>
        </xdr:cNvPr>
        <xdr:cNvSpPr/>
      </xdr:nvSpPr>
      <xdr:spPr>
        <a:xfrm>
          <a:off x="366712" y="1850232"/>
          <a:ext cx="1133475" cy="1066800"/>
        </a:xfrm>
        <a:prstGeom prst="flowChartAlternateProcess">
          <a:avLst/>
        </a:prstGeom>
        <a:solidFill>
          <a:srgbClr val="604A7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HR</a:t>
          </a:r>
          <a:br>
            <a:rPr lang="en-GB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</a:br>
          <a:r>
            <a:rPr lang="en-GB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extra form and tidy</a:t>
          </a:r>
        </a:p>
      </xdr:txBody>
    </xdr:sp>
    <xdr:clientData/>
  </xdr:twoCellAnchor>
  <xdr:twoCellAnchor>
    <xdr:from>
      <xdr:col>0</xdr:col>
      <xdr:colOff>511968</xdr:colOff>
      <xdr:row>18</xdr:row>
      <xdr:rowOff>58016</xdr:rowOff>
    </xdr:from>
    <xdr:to>
      <xdr:col>0</xdr:col>
      <xdr:colOff>1714499</xdr:colOff>
      <xdr:row>22</xdr:row>
      <xdr:rowOff>170584</xdr:rowOff>
    </xdr:to>
    <xdr:sp macro="[0]!FS_Incomplete_Storeys_Copies" textlink="">
      <xdr:nvSpPr>
        <xdr:cNvPr id="16" name="Flowchart: Alternate Process 15">
          <a:extLst>
            <a:ext uri="{FF2B5EF4-FFF2-40B4-BE49-F238E27FC236}">
              <a16:creationId xmlns:a16="http://schemas.microsoft.com/office/drawing/2014/main" id="{3845A6EF-78FA-4543-B99C-F88B22DA7FB2}"/>
            </a:ext>
          </a:extLst>
        </xdr:cNvPr>
        <xdr:cNvSpPr/>
      </xdr:nvSpPr>
      <xdr:spPr>
        <a:xfrm>
          <a:off x="511968" y="4772891"/>
          <a:ext cx="1202531" cy="1160318"/>
        </a:xfrm>
        <a:prstGeom prst="flowChartAlternateProcess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FS </a:t>
          </a:r>
          <a:br>
            <a:rPr lang="en-GB" sz="120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</a:br>
          <a:r>
            <a:rPr lang="en-GB" sz="120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extra</a:t>
          </a:r>
          <a:br>
            <a:rPr lang="en-GB" sz="120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</a:br>
          <a:r>
            <a:rPr lang="en-GB" sz="120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form and tidy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I87"/>
  <sheetViews>
    <sheetView tabSelected="1" topLeftCell="A6" zoomScale="80" zoomScaleNormal="80" workbookViewId="0">
      <selection activeCell="B20" sqref="B20"/>
    </sheetView>
  </sheetViews>
  <sheetFormatPr defaultColWidth="51.7265625" defaultRowHeight="20" x14ac:dyDescent="0.4"/>
  <cols>
    <col min="1" max="1" width="60.453125" style="1" bestFit="1" customWidth="1"/>
    <col min="2" max="2" width="62.453125" style="1" bestFit="1" customWidth="1"/>
    <col min="3" max="4" width="2.7265625" style="1" customWidth="1"/>
    <col min="5" max="5" width="28.453125" style="1" bestFit="1" customWidth="1"/>
    <col min="6" max="6" width="4.7265625" style="1" bestFit="1" customWidth="1"/>
    <col min="7" max="7" width="34.453125" style="1" bestFit="1" customWidth="1"/>
    <col min="8" max="8" width="17.26953125" style="1" bestFit="1" customWidth="1"/>
    <col min="9" max="16384" width="51.7265625" style="1"/>
  </cols>
  <sheetData>
    <row r="1" spans="1:9" x14ac:dyDescent="0.4">
      <c r="A1" s="1" t="s">
        <v>0</v>
      </c>
      <c r="B1" s="5" t="s">
        <v>1</v>
      </c>
    </row>
    <row r="2" spans="1:9" x14ac:dyDescent="0.4">
      <c r="A2" s="1" t="s">
        <v>2</v>
      </c>
      <c r="B2" s="1" t="s">
        <v>3</v>
      </c>
    </row>
    <row r="3" spans="1:9" x14ac:dyDescent="0.4">
      <c r="A3" s="1" t="s">
        <v>4</v>
      </c>
      <c r="B3" s="2">
        <f>G41</f>
        <v>45</v>
      </c>
    </row>
    <row r="4" spans="1:9" x14ac:dyDescent="0.4">
      <c r="A4" s="1" t="s">
        <v>5</v>
      </c>
      <c r="B4" s="1" t="str">
        <f>VLOOKUP(B5,F42:G87,2,FALSE)</f>
        <v>Template FRS</v>
      </c>
    </row>
    <row r="5" spans="1:9" x14ac:dyDescent="0.4">
      <c r="A5" s="1" t="s">
        <v>6</v>
      </c>
      <c r="B5" s="2">
        <v>0</v>
      </c>
    </row>
    <row r="9" spans="1:9" x14ac:dyDescent="0.4">
      <c r="I9" s="4"/>
    </row>
    <row r="23" spans="1:1" x14ac:dyDescent="0.4">
      <c r="A23" s="6"/>
    </row>
    <row r="41" spans="5:9" x14ac:dyDescent="0.4">
      <c r="E41" s="3" t="s">
        <v>7</v>
      </c>
      <c r="F41" s="3">
        <v>0</v>
      </c>
      <c r="G41" s="3">
        <f>MAX(F41:F1058)</f>
        <v>45</v>
      </c>
      <c r="H41" s="3"/>
    </row>
    <row r="42" spans="5:9" x14ac:dyDescent="0.4">
      <c r="E42" s="3"/>
      <c r="F42" s="3">
        <v>1</v>
      </c>
      <c r="G42" s="3" t="s">
        <v>8</v>
      </c>
      <c r="H42" s="3" t="s">
        <v>9</v>
      </c>
      <c r="I42" s="1" t="str">
        <f>CONCATENATE($B$1,G42)</f>
        <v>C:\Users\KatrinaIhebunezie\OneDrive - MHCLG\Desktop\OS\Avon</v>
      </c>
    </row>
    <row r="43" spans="5:9" x14ac:dyDescent="0.4">
      <c r="E43" s="3"/>
      <c r="F43" s="3">
        <v>2</v>
      </c>
      <c r="G43" s="3" t="s">
        <v>10</v>
      </c>
      <c r="H43" s="3" t="s">
        <v>11</v>
      </c>
      <c r="I43" s="1" t="str">
        <f t="shared" ref="I43:I87" si="0">CONCATENATE($B$1,G43)</f>
        <v>C:\Users\KatrinaIhebunezie\OneDrive - MHCLG\Desktop\OS\Bedfordshire</v>
      </c>
    </row>
    <row r="44" spans="5:9" x14ac:dyDescent="0.4">
      <c r="E44" s="3"/>
      <c r="F44" s="3">
        <v>3</v>
      </c>
      <c r="G44" s="3" t="s">
        <v>12</v>
      </c>
      <c r="H44" s="3" t="s">
        <v>13</v>
      </c>
      <c r="I44" s="1" t="str">
        <f t="shared" si="0"/>
        <v>C:\Users\KatrinaIhebunezie\OneDrive - MHCLG\Desktop\OS\Berkshire</v>
      </c>
    </row>
    <row r="45" spans="5:9" x14ac:dyDescent="0.4">
      <c r="E45" s="3"/>
      <c r="F45" s="3">
        <v>4</v>
      </c>
      <c r="G45" s="3" t="s">
        <v>14</v>
      </c>
      <c r="H45" s="3" t="s">
        <v>15</v>
      </c>
      <c r="I45" s="1" t="str">
        <f t="shared" si="0"/>
        <v>C:\Users\KatrinaIhebunezie\OneDrive - MHCLG\Desktop\OS\Buckinghamshire</v>
      </c>
    </row>
    <row r="46" spans="5:9" x14ac:dyDescent="0.4">
      <c r="E46" s="3"/>
      <c r="F46" s="3">
        <v>5</v>
      </c>
      <c r="G46" s="3" t="s">
        <v>16</v>
      </c>
      <c r="H46" s="3" t="s">
        <v>17</v>
      </c>
      <c r="I46" s="1" t="str">
        <f t="shared" si="0"/>
        <v>C:\Users\KatrinaIhebunezie\OneDrive - MHCLG\Desktop\OS\Cambridgeshire</v>
      </c>
    </row>
    <row r="47" spans="5:9" x14ac:dyDescent="0.4">
      <c r="E47" s="3"/>
      <c r="F47" s="3">
        <v>6</v>
      </c>
      <c r="G47" s="3" t="s">
        <v>18</v>
      </c>
      <c r="H47" s="3" t="s">
        <v>19</v>
      </c>
      <c r="I47" s="1" t="str">
        <f t="shared" si="0"/>
        <v>C:\Users\KatrinaIhebunezie\OneDrive - MHCLG\Desktop\OS\Cheshire</v>
      </c>
    </row>
    <row r="48" spans="5:9" x14ac:dyDescent="0.4">
      <c r="E48" s="3"/>
      <c r="F48" s="3">
        <v>7</v>
      </c>
      <c r="G48" s="3" t="s">
        <v>20</v>
      </c>
      <c r="H48" s="3" t="s">
        <v>21</v>
      </c>
      <c r="I48" s="1" t="str">
        <f t="shared" si="0"/>
        <v>C:\Users\KatrinaIhebunezie\OneDrive - MHCLG\Desktop\OS\Cleveland</v>
      </c>
    </row>
    <row r="49" spans="5:9" x14ac:dyDescent="0.4">
      <c r="E49" s="3"/>
      <c r="F49" s="3">
        <v>8</v>
      </c>
      <c r="G49" s="3" t="s">
        <v>22</v>
      </c>
      <c r="H49" s="3" t="s">
        <v>23</v>
      </c>
      <c r="I49" s="1" t="str">
        <f t="shared" si="0"/>
        <v>C:\Users\KatrinaIhebunezie\OneDrive - MHCLG\Desktop\OS\Cornwall</v>
      </c>
    </row>
    <row r="50" spans="5:9" x14ac:dyDescent="0.4">
      <c r="E50" s="3"/>
      <c r="F50" s="3">
        <v>9</v>
      </c>
      <c r="G50" s="3" t="s">
        <v>24</v>
      </c>
      <c r="H50" s="3" t="s">
        <v>25</v>
      </c>
      <c r="I50" s="1" t="str">
        <f t="shared" si="0"/>
        <v>C:\Users\KatrinaIhebunezie\OneDrive - MHCLG\Desktop\OS\Cumbria</v>
      </c>
    </row>
    <row r="51" spans="5:9" x14ac:dyDescent="0.4">
      <c r="E51" s="3"/>
      <c r="F51" s="3">
        <v>10</v>
      </c>
      <c r="G51" s="3" t="s">
        <v>26</v>
      </c>
      <c r="H51" s="3" t="s">
        <v>27</v>
      </c>
      <c r="I51" s="1" t="str">
        <f t="shared" si="0"/>
        <v>C:\Users\KatrinaIhebunezie\OneDrive - MHCLG\Desktop\OS\Derbyshire</v>
      </c>
    </row>
    <row r="52" spans="5:9" x14ac:dyDescent="0.4">
      <c r="E52" s="3"/>
      <c r="F52" s="3">
        <v>11</v>
      </c>
      <c r="G52" s="3" t="s">
        <v>28</v>
      </c>
      <c r="H52" s="3" t="s">
        <v>29</v>
      </c>
      <c r="I52" s="1" t="str">
        <f t="shared" si="0"/>
        <v>C:\Users\KatrinaIhebunezie\OneDrive - MHCLG\Desktop\OS\Devon and Somerset</v>
      </c>
    </row>
    <row r="53" spans="5:9" x14ac:dyDescent="0.4">
      <c r="E53" s="3"/>
      <c r="F53" s="3">
        <v>12</v>
      </c>
      <c r="G53" s="3" t="s">
        <v>30</v>
      </c>
      <c r="H53" s="3" t="s">
        <v>31</v>
      </c>
      <c r="I53" s="1" t="str">
        <f t="shared" si="0"/>
        <v>C:\Users\KatrinaIhebunezie\OneDrive - MHCLG\Desktop\OS\Dorset and Wiltshire</v>
      </c>
    </row>
    <row r="54" spans="5:9" x14ac:dyDescent="0.4">
      <c r="E54" s="3"/>
      <c r="F54" s="3">
        <v>13</v>
      </c>
      <c r="G54" s="3" t="s">
        <v>32</v>
      </c>
      <c r="H54" s="3" t="s">
        <v>33</v>
      </c>
      <c r="I54" s="1" t="str">
        <f t="shared" si="0"/>
        <v>C:\Users\KatrinaIhebunezie\OneDrive - MHCLG\Desktop\OS\Durham</v>
      </c>
    </row>
    <row r="55" spans="5:9" x14ac:dyDescent="0.4">
      <c r="E55" s="3"/>
      <c r="F55" s="3">
        <v>14</v>
      </c>
      <c r="G55" s="3" t="s">
        <v>34</v>
      </c>
      <c r="H55" s="3" t="s">
        <v>35</v>
      </c>
      <c r="I55" s="1" t="str">
        <f t="shared" si="0"/>
        <v>C:\Users\KatrinaIhebunezie\OneDrive - MHCLG\Desktop\OS\East Sussex</v>
      </c>
    </row>
    <row r="56" spans="5:9" x14ac:dyDescent="0.4">
      <c r="E56" s="3"/>
      <c r="F56" s="3">
        <v>15</v>
      </c>
      <c r="G56" s="3" t="s">
        <v>36</v>
      </c>
      <c r="H56" s="3" t="s">
        <v>37</v>
      </c>
      <c r="I56" s="1" t="str">
        <f t="shared" si="0"/>
        <v>C:\Users\KatrinaIhebunezie\OneDrive - MHCLG\Desktop\OS\Essex</v>
      </c>
    </row>
    <row r="57" spans="5:9" x14ac:dyDescent="0.4">
      <c r="E57" s="3"/>
      <c r="F57" s="3">
        <v>16</v>
      </c>
      <c r="G57" s="3" t="s">
        <v>38</v>
      </c>
      <c r="H57" s="3" t="s">
        <v>39</v>
      </c>
      <c r="I57" s="1" t="str">
        <f t="shared" si="0"/>
        <v>C:\Users\KatrinaIhebunezie\OneDrive - MHCLG\Desktop\OS\Gloucestershire</v>
      </c>
    </row>
    <row r="58" spans="5:9" x14ac:dyDescent="0.4">
      <c r="E58" s="3"/>
      <c r="F58" s="3">
        <v>17</v>
      </c>
      <c r="G58" s="3" t="s">
        <v>40</v>
      </c>
      <c r="H58" s="3" t="s">
        <v>41</v>
      </c>
      <c r="I58" s="1" t="str">
        <f t="shared" si="0"/>
        <v>C:\Users\KatrinaIhebunezie\OneDrive - MHCLG\Desktop\OS\Greater London</v>
      </c>
    </row>
    <row r="59" spans="5:9" x14ac:dyDescent="0.4">
      <c r="E59" s="3"/>
      <c r="F59" s="3">
        <v>18</v>
      </c>
      <c r="G59" s="3" t="s">
        <v>42</v>
      </c>
      <c r="H59" s="3" t="s">
        <v>43</v>
      </c>
      <c r="I59" s="1" t="str">
        <f t="shared" si="0"/>
        <v>C:\Users\KatrinaIhebunezie\OneDrive - MHCLG\Desktop\OS\Greater Manchester</v>
      </c>
    </row>
    <row r="60" spans="5:9" x14ac:dyDescent="0.4">
      <c r="E60" s="3"/>
      <c r="F60" s="3">
        <v>19</v>
      </c>
      <c r="G60" s="3" t="s">
        <v>44</v>
      </c>
      <c r="H60" s="3" t="s">
        <v>45</v>
      </c>
      <c r="I60" s="1" t="str">
        <f t="shared" si="0"/>
        <v>C:\Users\KatrinaIhebunezie\OneDrive - MHCLG\Desktop\OS\Hampshire and Isle Of Wight</v>
      </c>
    </row>
    <row r="61" spans="5:9" x14ac:dyDescent="0.4">
      <c r="E61" s="3"/>
      <c r="F61" s="3">
        <v>20</v>
      </c>
      <c r="G61" s="3" t="s">
        <v>46</v>
      </c>
      <c r="H61" s="3" t="s">
        <v>47</v>
      </c>
      <c r="I61" s="1" t="str">
        <f t="shared" si="0"/>
        <v>C:\Users\KatrinaIhebunezie\OneDrive - MHCLG\Desktop\OS\Hereford and Worcester</v>
      </c>
    </row>
    <row r="62" spans="5:9" x14ac:dyDescent="0.4">
      <c r="E62" s="3"/>
      <c r="F62" s="3">
        <v>21</v>
      </c>
      <c r="G62" s="3" t="s">
        <v>48</v>
      </c>
      <c r="H62" s="3" t="s">
        <v>49</v>
      </c>
      <c r="I62" s="1" t="str">
        <f t="shared" si="0"/>
        <v>C:\Users\KatrinaIhebunezie\OneDrive - MHCLG\Desktop\OS\Hertfordshire</v>
      </c>
    </row>
    <row r="63" spans="5:9" x14ac:dyDescent="0.4">
      <c r="E63" s="3"/>
      <c r="F63" s="3">
        <v>22</v>
      </c>
      <c r="G63" s="3" t="s">
        <v>50</v>
      </c>
      <c r="H63" s="3" t="s">
        <v>51</v>
      </c>
      <c r="I63" s="1" t="str">
        <f t="shared" si="0"/>
        <v>C:\Users\KatrinaIhebunezie\OneDrive - MHCLG\Desktop\OS\Humberside</v>
      </c>
    </row>
    <row r="64" spans="5:9" x14ac:dyDescent="0.4">
      <c r="E64" s="3"/>
      <c r="F64" s="3">
        <v>23</v>
      </c>
      <c r="G64" s="3" t="s">
        <v>52</v>
      </c>
      <c r="H64" s="3" t="s">
        <v>53</v>
      </c>
      <c r="I64" s="1" t="str">
        <f t="shared" si="0"/>
        <v>C:\Users\KatrinaIhebunezie\OneDrive - MHCLG\Desktop\OS\Isles Of Scilly</v>
      </c>
    </row>
    <row r="65" spans="5:9" x14ac:dyDescent="0.4">
      <c r="E65" s="3"/>
      <c r="F65" s="3">
        <v>24</v>
      </c>
      <c r="G65" s="3" t="s">
        <v>54</v>
      </c>
      <c r="H65" s="3" t="s">
        <v>55</v>
      </c>
      <c r="I65" s="1" t="str">
        <f t="shared" si="0"/>
        <v>C:\Users\KatrinaIhebunezie\OneDrive - MHCLG\Desktop\OS\Kent</v>
      </c>
    </row>
    <row r="66" spans="5:9" x14ac:dyDescent="0.4">
      <c r="E66" s="3"/>
      <c r="F66" s="3">
        <v>25</v>
      </c>
      <c r="G66" s="3" t="s">
        <v>56</v>
      </c>
      <c r="H66" s="3" t="s">
        <v>57</v>
      </c>
      <c r="I66" s="1" t="str">
        <f t="shared" si="0"/>
        <v>C:\Users\KatrinaIhebunezie\OneDrive - MHCLG\Desktop\OS\Lancashire</v>
      </c>
    </row>
    <row r="67" spans="5:9" x14ac:dyDescent="0.4">
      <c r="E67" s="3"/>
      <c r="F67" s="3">
        <v>26</v>
      </c>
      <c r="G67" s="3" t="s">
        <v>58</v>
      </c>
      <c r="H67" s="3" t="s">
        <v>59</v>
      </c>
      <c r="I67" s="1" t="str">
        <f t="shared" si="0"/>
        <v>C:\Users\KatrinaIhebunezie\OneDrive - MHCLG\Desktop\OS\Leicestershire</v>
      </c>
    </row>
    <row r="68" spans="5:9" x14ac:dyDescent="0.4">
      <c r="E68" s="3"/>
      <c r="F68" s="3">
        <v>27</v>
      </c>
      <c r="G68" s="3" t="s">
        <v>60</v>
      </c>
      <c r="H68" s="3" t="s">
        <v>61</v>
      </c>
      <c r="I68" s="1" t="str">
        <f t="shared" si="0"/>
        <v>C:\Users\KatrinaIhebunezie\OneDrive - MHCLG\Desktop\OS\Lincolnshire</v>
      </c>
    </row>
    <row r="69" spans="5:9" x14ac:dyDescent="0.4">
      <c r="E69" s="3"/>
      <c r="F69" s="3">
        <v>28</v>
      </c>
      <c r="G69" s="3" t="s">
        <v>62</v>
      </c>
      <c r="H69" s="3" t="s">
        <v>63</v>
      </c>
      <c r="I69" s="1" t="str">
        <f t="shared" si="0"/>
        <v>C:\Users\KatrinaIhebunezie\OneDrive - MHCLG\Desktop\OS\Merseyside</v>
      </c>
    </row>
    <row r="70" spans="5:9" x14ac:dyDescent="0.4">
      <c r="E70" s="3"/>
      <c r="F70" s="3">
        <v>29</v>
      </c>
      <c r="G70" s="3" t="s">
        <v>64</v>
      </c>
      <c r="H70" s="3" t="s">
        <v>65</v>
      </c>
      <c r="I70" s="1" t="str">
        <f t="shared" si="0"/>
        <v>C:\Users\KatrinaIhebunezie\OneDrive - MHCLG\Desktop\OS\Norfolk</v>
      </c>
    </row>
    <row r="71" spans="5:9" x14ac:dyDescent="0.4">
      <c r="E71" s="3"/>
      <c r="F71" s="3">
        <v>30</v>
      </c>
      <c r="G71" s="3" t="s">
        <v>66</v>
      </c>
      <c r="H71" s="3" t="s">
        <v>67</v>
      </c>
      <c r="I71" s="1" t="str">
        <f t="shared" si="0"/>
        <v>C:\Users\KatrinaIhebunezie\OneDrive - MHCLG\Desktop\OS\North Yorkshire</v>
      </c>
    </row>
    <row r="72" spans="5:9" x14ac:dyDescent="0.4">
      <c r="E72" s="3"/>
      <c r="F72" s="3">
        <v>31</v>
      </c>
      <c r="G72" s="3" t="s">
        <v>68</v>
      </c>
      <c r="H72" s="3" t="s">
        <v>69</v>
      </c>
      <c r="I72" s="1" t="str">
        <f t="shared" si="0"/>
        <v>C:\Users\KatrinaIhebunezie\OneDrive - MHCLG\Desktop\OS\Northamptonshire</v>
      </c>
    </row>
    <row r="73" spans="5:9" x14ac:dyDescent="0.4">
      <c r="E73" s="3"/>
      <c r="F73" s="3">
        <v>32</v>
      </c>
      <c r="G73" s="3" t="s">
        <v>70</v>
      </c>
      <c r="H73" s="3" t="s">
        <v>71</v>
      </c>
      <c r="I73" s="1" t="str">
        <f t="shared" si="0"/>
        <v>C:\Users\KatrinaIhebunezie\OneDrive - MHCLG\Desktop\OS\Northumberland</v>
      </c>
    </row>
    <row r="74" spans="5:9" x14ac:dyDescent="0.4">
      <c r="E74" s="3"/>
      <c r="F74" s="3">
        <v>33</v>
      </c>
      <c r="G74" s="3" t="s">
        <v>72</v>
      </c>
      <c r="H74" s="3" t="s">
        <v>73</v>
      </c>
      <c r="I74" s="1" t="str">
        <f t="shared" si="0"/>
        <v>C:\Users\KatrinaIhebunezie\OneDrive - MHCLG\Desktop\OS\Nottinghamshire</v>
      </c>
    </row>
    <row r="75" spans="5:9" x14ac:dyDescent="0.4">
      <c r="E75" s="3"/>
      <c r="F75" s="3">
        <v>34</v>
      </c>
      <c r="G75" s="3" t="s">
        <v>74</v>
      </c>
      <c r="H75" s="3" t="s">
        <v>75</v>
      </c>
      <c r="I75" s="1" t="str">
        <f t="shared" si="0"/>
        <v>C:\Users\KatrinaIhebunezie\OneDrive - MHCLG\Desktop\OS\Oxfordshire</v>
      </c>
    </row>
    <row r="76" spans="5:9" x14ac:dyDescent="0.4">
      <c r="E76" s="3"/>
      <c r="F76" s="3">
        <v>35</v>
      </c>
      <c r="G76" s="3" t="s">
        <v>76</v>
      </c>
      <c r="H76" s="3" t="s">
        <v>77</v>
      </c>
      <c r="I76" s="1" t="str">
        <f t="shared" si="0"/>
        <v>C:\Users\KatrinaIhebunezie\OneDrive - MHCLG\Desktop\OS\Shropshire</v>
      </c>
    </row>
    <row r="77" spans="5:9" x14ac:dyDescent="0.4">
      <c r="E77" s="3"/>
      <c r="F77" s="3">
        <v>36</v>
      </c>
      <c r="G77" s="3" t="s">
        <v>78</v>
      </c>
      <c r="H77" s="3" t="s">
        <v>79</v>
      </c>
      <c r="I77" s="1" t="str">
        <f t="shared" si="0"/>
        <v>C:\Users\KatrinaIhebunezie\OneDrive - MHCLG\Desktop\OS\South Yorkshire</v>
      </c>
    </row>
    <row r="78" spans="5:9" x14ac:dyDescent="0.4">
      <c r="E78" s="3"/>
      <c r="F78" s="3">
        <v>37</v>
      </c>
      <c r="G78" s="3" t="s">
        <v>80</v>
      </c>
      <c r="H78" s="3" t="s">
        <v>81</v>
      </c>
      <c r="I78" s="1" t="str">
        <f t="shared" si="0"/>
        <v>C:\Users\KatrinaIhebunezie\OneDrive - MHCLG\Desktop\OS\Staffordshire</v>
      </c>
    </row>
    <row r="79" spans="5:9" x14ac:dyDescent="0.4">
      <c r="E79" s="3"/>
      <c r="F79" s="3">
        <v>38</v>
      </c>
      <c r="G79" s="3" t="s">
        <v>82</v>
      </c>
      <c r="H79" s="3" t="s">
        <v>83</v>
      </c>
      <c r="I79" s="1" t="str">
        <f t="shared" si="0"/>
        <v>C:\Users\KatrinaIhebunezie\OneDrive - MHCLG\Desktop\OS\Suffolk</v>
      </c>
    </row>
    <row r="80" spans="5:9" x14ac:dyDescent="0.4">
      <c r="E80" s="3"/>
      <c r="F80" s="3">
        <v>39</v>
      </c>
      <c r="G80" s="3" t="s">
        <v>84</v>
      </c>
      <c r="H80" s="3" t="s">
        <v>85</v>
      </c>
      <c r="I80" s="1" t="str">
        <f t="shared" si="0"/>
        <v>C:\Users\KatrinaIhebunezie\OneDrive - MHCLG\Desktop\OS\Surrey</v>
      </c>
    </row>
    <row r="81" spans="5:9" x14ac:dyDescent="0.4">
      <c r="E81" s="3"/>
      <c r="F81" s="3">
        <v>40</v>
      </c>
      <c r="G81" s="3" t="s">
        <v>86</v>
      </c>
      <c r="H81" s="3" t="s">
        <v>87</v>
      </c>
      <c r="I81" s="1" t="str">
        <f t="shared" si="0"/>
        <v>C:\Users\KatrinaIhebunezie\OneDrive - MHCLG\Desktop\OS\Tyne and Wear</v>
      </c>
    </row>
    <row r="82" spans="5:9" x14ac:dyDescent="0.4">
      <c r="E82" s="3"/>
      <c r="F82" s="3">
        <v>41</v>
      </c>
      <c r="G82" s="3" t="s">
        <v>88</v>
      </c>
      <c r="H82" s="3" t="s">
        <v>89</v>
      </c>
      <c r="I82" s="1" t="str">
        <f t="shared" si="0"/>
        <v>C:\Users\KatrinaIhebunezie\OneDrive - MHCLG\Desktop\OS\Warwickshire</v>
      </c>
    </row>
    <row r="83" spans="5:9" x14ac:dyDescent="0.4">
      <c r="E83" s="3"/>
      <c r="F83" s="3">
        <v>42</v>
      </c>
      <c r="G83" s="3" t="s">
        <v>90</v>
      </c>
      <c r="H83" s="3" t="s">
        <v>91</v>
      </c>
      <c r="I83" s="1" t="str">
        <f t="shared" si="0"/>
        <v>C:\Users\KatrinaIhebunezie\OneDrive - MHCLG\Desktop\OS\West Midlands</v>
      </c>
    </row>
    <row r="84" spans="5:9" x14ac:dyDescent="0.4">
      <c r="E84" s="3"/>
      <c r="F84" s="3">
        <v>43</v>
      </c>
      <c r="G84" s="3" t="s">
        <v>92</v>
      </c>
      <c r="H84" s="3" t="s">
        <v>93</v>
      </c>
      <c r="I84" s="1" t="str">
        <f t="shared" si="0"/>
        <v>C:\Users\KatrinaIhebunezie\OneDrive - MHCLG\Desktop\OS\West Sussex</v>
      </c>
    </row>
    <row r="85" spans="5:9" x14ac:dyDescent="0.4">
      <c r="E85" s="3"/>
      <c r="F85" s="3">
        <v>44</v>
      </c>
      <c r="G85" s="3" t="s">
        <v>94</v>
      </c>
      <c r="H85" s="3" t="s">
        <v>95</v>
      </c>
      <c r="I85" s="1" t="str">
        <f t="shared" si="0"/>
        <v>C:\Users\KatrinaIhebunezie\OneDrive - MHCLG\Desktop\OS\West Yorkshire</v>
      </c>
    </row>
    <row r="86" spans="5:9" x14ac:dyDescent="0.4">
      <c r="E86" s="3"/>
      <c r="F86" s="3">
        <v>45</v>
      </c>
      <c r="G86" s="3" t="s">
        <v>96</v>
      </c>
      <c r="H86" s="3" t="s">
        <v>97</v>
      </c>
      <c r="I86" s="1" t="str">
        <f>CONCATENATE($B$1,G86)</f>
        <v>C:\Users\KatrinaIhebunezie\OneDrive - MHCLG\Desktop\OS\North West Fire Control</v>
      </c>
    </row>
    <row r="87" spans="5:9" x14ac:dyDescent="0.4">
      <c r="E87" s="3"/>
      <c r="F87" s="3">
        <v>0</v>
      </c>
      <c r="G87" s="3" t="s">
        <v>98</v>
      </c>
      <c r="H87" s="3">
        <v>0</v>
      </c>
      <c r="I87" s="1" t="str">
        <f t="shared" si="0"/>
        <v>C:\Users\KatrinaIhebunezie\OneDrive - MHCLG\Desktop\OS\Template FRS</v>
      </c>
    </row>
  </sheetData>
  <pageMargins left="0.7" right="0.7" top="0.75" bottom="0.75" header="0.3" footer="0.3"/>
  <pageSetup paperSize="9" orientation="portrait" r:id="rId1"/>
  <headerFooter>
    <oddHeader>&amp;C&amp;"Aptos"&amp;10&amp;K000000 OFFICIAL&amp;1#_x000D_</oddHeader>
    <oddFooter>&amp;C_x000D_&amp;1#&amp;"Aptos"&amp;10&amp;K000000 OFFICIAL</oddFooter>
  </headerFooter>
  <drawing r:id="rId2"/>
</worksheet>
</file>

<file path=docMetadata/LabelInfo.xml><?xml version="1.0" encoding="utf-8"?>
<clbl:labelList xmlns:clbl="http://schemas.microsoft.com/office/2020/mipLabelMetadata">
  <clbl:label id="{fbd41ebe-fca6-4f2c-aecb-bf3a17e72416}" enabled="1" method="Privileged" siteId="{bf346810-9c7d-43de-a872-24a2ef3995a8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Macro</vt:lpstr>
      <vt:lpstr>SendLoc</vt:lpstr>
    </vt:vector>
  </TitlesOfParts>
  <Manager/>
  <Company>Home Office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Gaught Paul</dc:creator>
  <cp:keywords/>
  <dc:description/>
  <cp:lastModifiedBy>Katrina Ihebunezie</cp:lastModifiedBy>
  <cp:revision/>
  <dcterms:created xsi:type="dcterms:W3CDTF">2018-03-09T12:50:25Z</dcterms:created>
  <dcterms:modified xsi:type="dcterms:W3CDTF">2026-02-20T19:08:31Z</dcterms:modified>
  <cp:category/>
  <cp:contentStatus/>
</cp:coreProperties>
</file>