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11" documentId="8_{521F20DA-6AF1-4D62-A1F4-476B52EC52F4}" xr6:coauthVersionLast="47" xr6:coauthVersionMax="47" xr10:uidLastSave="{237477B1-8716-4E8D-BC46-E4C788015BF2}"/>
  <workbookProtection workbookAlgorithmName="SHA-512" workbookHashValue="QPdl4UXVKxEbm9UN0TSTa/yvAeEbEoROlDvxNb63Yj/U682UhgItu6OVxRySceX0OGn+UmlOnTEaM1qFl386Sw==" workbookSaltValue="iShGJ4VJpWzZgWQiZQHfiQ==" workbookSpinCount="100000" lockStructure="1"/>
  <bookViews>
    <workbookView xWindow="-110" yWindow="-110" windowWidth="22780" windowHeight="14540" xr2:uid="{2C8E1A28-4B62-47E2-BD11-71AC1EC6AA74}"/>
  </bookViews>
  <sheets>
    <sheet name="Cover" sheetId="6" r:id="rId1"/>
    <sheet name="Guidance" sheetId="3" r:id="rId2"/>
    <sheet name="FP1" sheetId="20" r:id="rId3"/>
    <sheet name="FP1b - PY data" sheetId="25" state="veryHidden" r:id="rId4"/>
    <sheet name="FP1 PY" sheetId="23" state="veryHidden" r:id="rId5"/>
    <sheet name="FP1a - PY data" sheetId="22" state="veryHidden" r:id="rId6"/>
    <sheet name="QA checks" sheetId="26" r:id="rId7"/>
    <sheet name="QA check thresholds" sheetId="24" state="veryHidden"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9"/>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23" l="1"/>
  <c r="B29" i="23"/>
  <c r="B28" i="23"/>
  <c r="B27" i="23"/>
  <c r="B26" i="23"/>
  <c r="B25" i="23"/>
  <c r="C16" i="23"/>
  <c r="B16" i="23"/>
  <c r="C10" i="23"/>
  <c r="B10" i="23"/>
  <c r="B4" i="23"/>
  <c r="H4" i="26"/>
  <c r="B31" i="20" l="1"/>
  <c r="F24" i="20" s="1"/>
  <c r="D4" i="26" l="1"/>
  <c r="C4" i="26"/>
  <c r="B4" i="26"/>
  <c r="A4" i="26" l="1"/>
  <c r="F27" i="20" l="1"/>
  <c r="F28" i="20" l="1"/>
  <c r="G4" i="26" s="1"/>
  <c r="E4" i="26"/>
  <c r="A11" i="6"/>
  <c r="A10" i="6"/>
  <c r="C4" i="23" s="1"/>
  <c r="C250" i="6"/>
  <c r="C12" i="23" l="1"/>
  <c r="F4" i="26" l="1"/>
  <c r="B1" i="26" s="1"/>
  <c r="B12" i="23"/>
</calcChain>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<sst xmlns="http://schemas.openxmlformats.org/spreadsheetml/2006/main" count="228" uniqueCount="217">
  <si>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</si>
  <si>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</si>
  <si>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</si>
  <si>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</si>
  <si>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</si>
  <si>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</si>
  <si>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</si>
  <si>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</si>
  <si>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</si>
  <si>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</si>
  <si>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</si>
  <si>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</si>
  <si>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</si>
  <si>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</si>
  <si>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</si>
  <si>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</si>
  <si>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</si>
  <si>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</si>
  <si>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</si>
  <si>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</si>
  <si>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</si>
  <si>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</si>
  <si>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</si>
  <si>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</si>
  <si>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</si>
  <si>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</si>
  <si>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</si>
  <si>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</si>
  <si>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</si>
  <si>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</si>
  <si>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</si>
  <si>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</si>
  <si>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</si>
  <si>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</si>
  <si>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</si>
  <si>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</si>
  <si>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</si>
  <si>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</si>
  <si>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</si>
  <si>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</si>
  <si>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</si>
  <si>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</si>
  <si>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</si>
  <si>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</si>
  <si>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</si>
  <si>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</si>
  <si>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</si>
  <si>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</si>
  <si>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</si>
  <si>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</si>
  <si>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</si>
  <si>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</si>
  <si>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</si>
  <si>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</si>
  <si>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</si>
  <si>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</si>
  <si>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</si>
  <si>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</si>
  <si>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</si>
  <si>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</si>
  <si>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</si>
  <si>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</si>
  <si>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</si>
  <si>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</si>
  <si>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</si>
  <si>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</si>
  <si>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</si>
  <si>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</si>
  <si>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</si>
  <si>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</si>
  <si>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</si>
  <si>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</si>
  <si>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</si>
  <si>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</si>
  <si>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</si>
  <si>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</si>
  <si>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</si>
  <si>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</si>
  <si>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</si>
  <si>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</si>
  <si>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</si>
  <si>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</si>
  <si>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</si>
  <si>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</si>
  <si>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</si>
  <si>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</si>
  <si>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</si>
  <si>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</si>
  <si>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</si>
  <si>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</si>
  <si>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</si>
  <si>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</si>
  <si>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</si>
  <si>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</si>
  <si>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</si>
  <si>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</si>
  <si>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</si>
  <si>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</si>
  <si>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</si>
  <si>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</si>
  <si>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</si>
  <si>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</si>
  <si>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</si>
  <si>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</si>
  <si>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</si>
  <si>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</si>
  <si>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</si>
  <si>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</si>
  <si>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</si>
  <si>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</si>
  <si>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</si>
  <si>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</si>
  <si>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</si>
  <si>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</si>
  <si>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</si>
  <si>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</si>
  <si>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</si>
  <si>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</si>
  <si>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</si>
  <si>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</si>
  <si>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</si>
  <si>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</si>
  <si>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</si>
  <si>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</si>
  <si>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</si>
  <si>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</si>
  <si>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</si>
  <si>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</si>
  <si>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</si>
  <si>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</si>
  <si>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</si>
  <si>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</si>
  <si>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</si>
  <si>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</si>
  <si>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</si>
  <si>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</si>
  <si>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</si>
  <si>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</si>
  <si>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</si>
  <si>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</si>
  <si>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</si>
  <si>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</si>
  <si>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</si>
  <si>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</si>
  <si>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</si>
  <si>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</si>
  <si>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</si>
  <si>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</si>
  <si>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</si>
  <si>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</si>
  <si>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</si>
  <si>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</si>
  <si>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</si>
  <si>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</si>
  <si>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</si>
  <si>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</si>
  <si>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</si>
  <si>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</si>
  <si>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</si>
  <si>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</si>
  <si>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</si>
  <si>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</si>
  <si>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</si>
  <si>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</si>
  <si>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</si>
  <si>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</si>
  <si>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</si>
  <si>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</si>
  <si>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</si>
  <si>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</si>
  <si>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</si>
  <si>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</si>
  <si>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</si>
  <si>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</si>
  <si>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</si>
  <si>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</si>
  <si>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</si>
  <si>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</si>
  <si>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</si>
  <si>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</si>
  <si>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</si>
  <si>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</si>
  <si>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</si>
  <si>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</si>
  <si>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</si>
  <si>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</si>
  <si>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</si>
  <si>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</si>
  <si>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</si>
  <si>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</si>
  <si>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</si>
  <si>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</si>
  <si>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</si>
  <si>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</si>
  <si>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</si>
  <si>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</si>
  <si>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</si>
  <si>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</si>
  <si>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</si>
  <si>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</si>
  <si>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</si>
  <si>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</si>
  <si>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</si>
  <si>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</si>
  <si>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</si>
  <si>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</si>
  <si>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</si>
  <si>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</si>
  <si>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</si>
  <si>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</si>
  <si>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</si>
  <si>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</si>
  <si>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</si>
  <si>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</si>
  <si>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</si>
  <si>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t>FP1 - Home Fire Safety Visits 1st April 2025 - 31st March 2026</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</si>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</sst>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38100</xdr:rowOff>
    </xdr:from>
    <xdr:ext cx="1685191" cy="876300"/>
    <xdr:pic>
      <xdr:nvPicPr>
        <xdr:cNvPr id="3" name="Picture 2" descr="Ministry of Housing, Communities and Local Government logo">
          <a:extLst>
            <a:ext uri="{FF2B5EF4-FFF2-40B4-BE49-F238E27FC236}">
              <a16:creationId xmlns:a16="http://schemas.microsoft.com/office/drawing/2014/main" id="{B87DC29D-52D4-4D87-990E-A1F8BA68AF0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9050" y="38100"/>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38100</xdr:colOff>
      <xdr:row>0</xdr:row>
      <xdr:rowOff>57150</xdr:rowOff>
    </xdr:from>
    <xdr:ext cx="1685191" cy="876300"/>
    <xdr:pic>
      <xdr:nvPicPr>
        <xdr:cNvPr id="3" name="Picture 2" descr="Ministry of Housing, Communities and Local Government logo">
          <a:extLst>
            <a:ext uri="{FF2B5EF4-FFF2-40B4-BE49-F238E27FC236}">
              <a16:creationId xmlns:a16="http://schemas.microsoft.com/office/drawing/2014/main" id="{948722FA-387D-48CC-893A-C9EF2F788940}"/>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100" y="57150"/>
          <a:ext cx="1685191" cy="8763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6" sqref="A6:F6"/>
    </sheetView>
  </sheetViews>
  <sheetFormatPr defaultColWidth="9.1796875" defaultRowHeight="15" customHeight="1"/>
  <cols>
    <col min="1" max="1" width="17.81640625" style="5" customWidth="1"/>
    <col min="2" max="2" width="20.54296875" style="5" customWidth="1"/>
    <col min="3" max="3" width="34.453125" style="5" customWidth="1"/>
    <col min="4" max="6" width="20.54296875" style="5" customWidth="1"/>
    <col min="7" max="7" width="3" style="5" customWidth="1"/>
    <col min="8" max="9" width="18.54296875" style="5" customWidth="1"/>
    <col min="10" max="16384" width="9.179687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49999999999999"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5"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5" customHeight="1" thickBot="1">
      <c r="A10" s="118" t="str">
        <f>VLOOKUP(B250,B251:D316,2,FALSE)</f>
        <v>Avon</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E31000001</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5"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ht="14">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5"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216</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5"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sheetProtection algorithmName="SHA-512" hashValue="s1nhMk84HIY5KU7pNrosijmFQraJoe+uiVvT1ZeQ2VrH73biachHWwh/lQcG1U11HFgDa87hzxjm4A47xQ+3iQ==" saltValue="bcM/gCe4g4RwzqDMyk18qQ==" spinCount="100000" sheet="1" objects="1" scenarios="1"/>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zoomScaleNormal="100" workbookViewId="0">
      <selection activeCell="B23" sqref="B23"/>
    </sheetView>
  </sheetViews>
  <sheetFormatPr defaultColWidth="9.1796875" defaultRowHeight="42" customHeight="1"/>
  <cols>
    <col min="1" max="1" width="43.453125" style="10" customWidth="1"/>
    <col min="2" max="2" width="106.1796875" style="10" customWidth="1"/>
    <col min="3" max="3" width="74" style="10" customWidth="1"/>
    <col min="4" max="16384" width="9.1796875" style="10"/>
  </cols>
  <sheetData>
    <row r="1" spans="1:17" ht="20">
      <c r="A1" s="135" t="s">
        <v>116</v>
      </c>
      <c r="B1" s="135"/>
      <c r="C1" s="45"/>
      <c r="D1" s="45"/>
      <c r="E1" s="45"/>
      <c r="F1" s="45"/>
      <c r="G1" s="45"/>
      <c r="H1" s="45"/>
      <c r="I1" s="45"/>
      <c r="J1" s="45"/>
      <c r="K1" s="45"/>
      <c r="L1" s="45"/>
      <c r="M1" s="45"/>
      <c r="N1" s="45"/>
      <c r="O1" s="45"/>
      <c r="P1" s="45"/>
      <c r="Q1" s="45"/>
    </row>
    <row r="2" spans="1:17" ht="20">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5">
      <c r="A6" s="47"/>
      <c r="B6" s="47"/>
      <c r="C6" s="45"/>
      <c r="D6" s="45"/>
      <c r="E6" s="45"/>
      <c r="F6" s="45"/>
      <c r="G6" s="45"/>
      <c r="H6" s="45"/>
      <c r="I6" s="45"/>
      <c r="J6" s="45"/>
      <c r="K6" s="45"/>
      <c r="L6" s="45"/>
      <c r="M6" s="45"/>
      <c r="N6" s="45"/>
      <c r="O6" s="45"/>
      <c r="P6" s="45"/>
      <c r="Q6" s="45"/>
    </row>
    <row r="7" spans="1:17" ht="15.5">
      <c r="A7" s="48" t="s">
        <v>118</v>
      </c>
      <c r="B7" s="45"/>
      <c r="C7" s="45"/>
      <c r="D7" s="45"/>
      <c r="E7" s="45"/>
      <c r="F7" s="45"/>
      <c r="G7" s="45"/>
      <c r="H7" s="45"/>
      <c r="I7" s="45"/>
      <c r="J7" s="45"/>
      <c r="K7" s="45"/>
      <c r="L7" s="45"/>
      <c r="M7" s="45"/>
      <c r="N7" s="45"/>
      <c r="O7" s="45"/>
      <c r="P7" s="45"/>
      <c r="Q7" s="45"/>
    </row>
    <row r="8" spans="1:17" ht="15.5">
      <c r="A8" s="48"/>
      <c r="B8" s="45"/>
      <c r="C8" s="45"/>
      <c r="D8" s="45"/>
      <c r="E8" s="45"/>
      <c r="F8" s="45"/>
      <c r="G8" s="45"/>
      <c r="H8" s="45"/>
      <c r="I8" s="45"/>
      <c r="J8" s="45"/>
      <c r="K8" s="45"/>
      <c r="L8" s="45"/>
      <c r="M8" s="45"/>
      <c r="N8" s="45"/>
      <c r="O8" s="45"/>
      <c r="P8" s="45"/>
      <c r="Q8" s="45"/>
    </row>
    <row r="9" spans="1:17" ht="108.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5"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5"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5">
      <c r="A23" s="50"/>
      <c r="B23" s="47"/>
      <c r="C23" s="45"/>
      <c r="D23" s="45"/>
      <c r="E23" s="45"/>
      <c r="F23" s="45"/>
      <c r="G23" s="45"/>
      <c r="H23" s="45"/>
      <c r="I23" s="45"/>
      <c r="J23" s="45"/>
      <c r="K23" s="45"/>
      <c r="L23" s="45"/>
      <c r="M23" s="45"/>
      <c r="N23" s="45"/>
      <c r="O23" s="45"/>
      <c r="P23" s="45"/>
      <c r="Q23" s="45"/>
    </row>
    <row r="24" spans="1:17" ht="15.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5">
      <c r="A31" s="50"/>
      <c r="B31" s="47"/>
      <c r="C31" s="45"/>
      <c r="D31" s="45"/>
      <c r="E31" s="45"/>
      <c r="F31" s="45"/>
      <c r="G31" s="45"/>
      <c r="H31" s="45"/>
      <c r="I31" s="45"/>
      <c r="J31" s="45"/>
      <c r="K31" s="45"/>
      <c r="L31" s="45"/>
      <c r="M31" s="45"/>
      <c r="N31" s="45"/>
      <c r="O31" s="45"/>
      <c r="P31" s="45"/>
      <c r="Q31" s="45"/>
    </row>
    <row r="32" spans="1:17" ht="15.5">
      <c r="A32" s="49" t="s">
        <v>141</v>
      </c>
      <c r="B32" s="47" t="s">
        <v>142</v>
      </c>
      <c r="C32" s="45"/>
      <c r="D32" s="45"/>
      <c r="E32" s="45"/>
      <c r="F32" s="45"/>
      <c r="G32" s="45"/>
      <c r="H32" s="45"/>
      <c r="I32" s="45"/>
      <c r="J32" s="45"/>
      <c r="K32" s="45"/>
      <c r="L32" s="45"/>
      <c r="M32" s="45"/>
      <c r="N32" s="45"/>
      <c r="O32" s="45"/>
      <c r="P32" s="45"/>
      <c r="Q32" s="45"/>
    </row>
    <row r="33" spans="1:17" ht="15.5">
      <c r="A33" s="47"/>
      <c r="B33" s="45"/>
      <c r="C33" s="45"/>
      <c r="D33" s="45"/>
      <c r="E33" s="45"/>
      <c r="F33" s="45"/>
      <c r="G33" s="45"/>
      <c r="H33" s="45"/>
      <c r="I33" s="45"/>
      <c r="J33" s="45"/>
      <c r="K33" s="45"/>
      <c r="L33" s="45"/>
      <c r="M33" s="45"/>
      <c r="N33" s="45"/>
      <c r="O33" s="45"/>
      <c r="P33" s="45"/>
      <c r="Q33" s="45"/>
    </row>
    <row r="34" spans="1:17" ht="31">
      <c r="A34" s="49" t="s">
        <v>143</v>
      </c>
      <c r="B34" s="47" t="s">
        <v>144</v>
      </c>
      <c r="C34" s="45"/>
      <c r="D34" s="45"/>
      <c r="E34" s="45"/>
      <c r="F34" s="45"/>
      <c r="G34" s="45"/>
      <c r="H34" s="45"/>
      <c r="I34" s="45"/>
      <c r="J34" s="45"/>
      <c r="K34" s="45"/>
      <c r="L34" s="45"/>
      <c r="M34" s="45"/>
      <c r="N34" s="45"/>
      <c r="O34" s="45"/>
      <c r="P34" s="45"/>
      <c r="Q34" s="45"/>
    </row>
    <row r="35" spans="1:17" ht="15.5">
      <c r="A35" s="49"/>
      <c r="B35" s="46" t="s">
        <v>145</v>
      </c>
      <c r="C35" s="46"/>
      <c r="D35" s="46"/>
      <c r="E35" s="46"/>
      <c r="F35" s="46"/>
      <c r="G35" s="46"/>
      <c r="H35" s="46"/>
      <c r="I35" s="46"/>
      <c r="J35" s="46"/>
      <c r="K35" s="46"/>
      <c r="L35" s="46"/>
      <c r="M35" s="45"/>
      <c r="N35" s="45"/>
      <c r="O35" s="45"/>
      <c r="P35" s="45"/>
      <c r="Q35" s="45"/>
    </row>
    <row r="36" spans="1:17" ht="31">
      <c r="A36" s="45"/>
      <c r="B36" s="74" t="s">
        <v>146</v>
      </c>
      <c r="C36" s="46"/>
      <c r="D36" s="46"/>
      <c r="E36" s="46"/>
      <c r="F36" s="46"/>
      <c r="G36" s="46"/>
      <c r="H36" s="46"/>
      <c r="I36" s="46"/>
      <c r="J36" s="46"/>
      <c r="K36" s="46"/>
      <c r="L36" s="46"/>
      <c r="M36" s="45"/>
      <c r="N36" s="45"/>
      <c r="O36" s="45"/>
      <c r="P36" s="45"/>
      <c r="Q36" s="45"/>
    </row>
    <row r="37" spans="1:17" ht="15.5">
      <c r="A37" s="45"/>
      <c r="B37" s="51"/>
      <c r="C37" s="45"/>
      <c r="D37" s="45"/>
      <c r="E37" s="45"/>
      <c r="F37" s="45"/>
      <c r="G37" s="45"/>
      <c r="H37" s="45"/>
      <c r="I37" s="45"/>
      <c r="J37" s="45"/>
      <c r="K37" s="45"/>
      <c r="L37" s="45"/>
      <c r="M37" s="45"/>
      <c r="N37" s="45"/>
      <c r="O37" s="45"/>
      <c r="P37" s="45"/>
      <c r="Q37" s="45"/>
    </row>
    <row r="38" spans="1:17" ht="35.5" customHeight="1">
      <c r="B38" s="46" t="s">
        <v>147</v>
      </c>
      <c r="C38" s="45"/>
      <c r="D38" s="45"/>
      <c r="E38" s="45"/>
      <c r="F38" s="45"/>
      <c r="G38" s="45"/>
      <c r="H38" s="45"/>
      <c r="I38" s="45"/>
      <c r="J38" s="45"/>
      <c r="K38" s="45"/>
      <c r="L38" s="45"/>
      <c r="M38" s="45"/>
      <c r="N38" s="45"/>
      <c r="O38" s="45"/>
      <c r="P38" s="45"/>
      <c r="Q38" s="45"/>
    </row>
    <row r="39" spans="1:17" ht="15.5">
      <c r="A39" s="52"/>
      <c r="B39" s="52"/>
      <c r="C39" s="45"/>
      <c r="D39" s="45"/>
      <c r="E39" s="45"/>
      <c r="F39" s="45"/>
      <c r="G39" s="45"/>
      <c r="H39" s="45"/>
      <c r="I39" s="45"/>
      <c r="J39" s="45"/>
      <c r="K39" s="45"/>
      <c r="L39" s="45"/>
      <c r="M39" s="45"/>
      <c r="N39" s="45"/>
      <c r="O39" s="45"/>
      <c r="P39" s="45"/>
      <c r="Q39" s="45"/>
    </row>
    <row r="40" spans="1:17" ht="139.5">
      <c r="A40" s="52" t="s">
        <v>148</v>
      </c>
      <c r="B40" s="50" t="s">
        <v>149</v>
      </c>
      <c r="C40" s="45"/>
      <c r="D40" s="45"/>
      <c r="E40" s="45"/>
      <c r="F40" s="45"/>
      <c r="G40" s="45"/>
      <c r="H40" s="45"/>
      <c r="I40" s="45"/>
      <c r="J40" s="45"/>
      <c r="K40" s="45"/>
      <c r="L40" s="45"/>
      <c r="M40" s="45"/>
      <c r="N40" s="45"/>
      <c r="O40" s="45"/>
      <c r="P40" s="45"/>
      <c r="Q40" s="45"/>
    </row>
    <row r="41" spans="1:17" ht="23.5" customHeight="1">
      <c r="A41" s="45"/>
      <c r="B41" s="45"/>
      <c r="C41" s="45"/>
      <c r="D41" s="45"/>
      <c r="E41" s="45"/>
      <c r="F41" s="45"/>
      <c r="G41" s="45"/>
      <c r="H41" s="45"/>
      <c r="I41" s="45"/>
      <c r="J41" s="45"/>
      <c r="K41" s="45"/>
      <c r="L41" s="45"/>
      <c r="M41" s="45"/>
      <c r="N41" s="45"/>
      <c r="O41" s="45"/>
      <c r="P41" s="45"/>
      <c r="Q41" s="45"/>
    </row>
    <row r="42" spans="1:17" ht="124">
      <c r="A42" s="49" t="s">
        <v>150</v>
      </c>
      <c r="B42" s="102" t="s">
        <v>151</v>
      </c>
      <c r="C42" s="45"/>
      <c r="D42" s="45"/>
      <c r="E42" s="45"/>
      <c r="F42" s="45"/>
      <c r="G42" s="45"/>
      <c r="H42" s="45"/>
      <c r="I42" s="45"/>
      <c r="J42" s="45"/>
      <c r="K42" s="45"/>
      <c r="L42" s="45"/>
      <c r="M42" s="45"/>
      <c r="N42" s="45"/>
      <c r="O42" s="45"/>
      <c r="P42" s="45"/>
      <c r="Q42" s="45"/>
    </row>
    <row r="43" spans="1:17" ht="12.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sheetProtection algorithmName="SHA-512" hashValue="8plXgDzlCeBRfN3d4vCMMfa4GFZAYejl4CcRRlhoupqpB2iCn+WnOOEYv8/MlIfhS2hT6K8hg5eQVNJvQJFrGQ==" saltValue="P3IeFDSrPbX6jxbIETJ9Fw==" spinCount="100000" sheet="1" objects="1" scenarios="1"/>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zoomScaleNormal="100" workbookViewId="0">
      <selection activeCell="E9" sqref="E9"/>
    </sheetView>
  </sheetViews>
  <sheetFormatPr defaultColWidth="9.1796875" defaultRowHeight="12.5"/>
  <cols>
    <col min="1" max="1" width="109.54296875" style="2" bestFit="1" customWidth="1"/>
    <col min="2" max="2" width="36.453125" style="1" customWidth="1"/>
    <col min="3" max="3" width="40.1796875" style="1" customWidth="1"/>
    <col min="4" max="4" width="3.54296875" style="1" customWidth="1"/>
    <col min="5" max="5" width="79.453125" style="1" customWidth="1"/>
    <col min="6" max="6" width="12.1796875" style="1" customWidth="1"/>
    <col min="7" max="7" width="5.1796875" style="1" customWidth="1"/>
    <col min="8" max="19" width="7.453125" style="1" customWidth="1"/>
    <col min="20" max="16384" width="9.179687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215</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4"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algorithmName="SHA-512" hashValue="4aYPeJPEoqi7hKGJGFRFDTY88Vk2cVOXKnoNVJ3UvgyI/9QXDC+zKg3iRjyptZGLDoqaQkuq8igkcmXlUWdr7Q==" saltValue="Ml2fA8YC+OU15UVcwaVHyg==" spinCount="100000" sheet="1" objects="1" scenarios="1"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FD98CD9-9C4F-4716-A45F-9A8D79103FE1}">
  <sheetPr codeName="Sheet2">
    <tabColor rgb="FFFF0000"/>
  </sheetPr>
  <dimension ref="A1:E7"/>
  <sheetViews>
    <sheetView workbookViewId="0" rightToLeft="false">
      <selection activeCell="H15" sqref="H15"/>
    </sheetView>
  </sheetViews>
  <sheetFormatPr defaultRowHeight="12.5"/>
  <cols>
    <col min="4" max="4" width="30.453125" bestFit="1" customWidth="1"/>
    <col min="5" max="5" width="9.1796875" style="90"/>
  </cols>
  <sheetData>
    <row spans="1:5" outlineLevel="0" r="1">
      <c r="A1" t="s">
        <v>182</v>
      </c>
      <c r="B1" t="s">
        <v>183</v>
      </c>
      <c r="C1" t="s">
        <v>184</v>
      </c>
      <c r="D1" t="s">
        <v>188</v>
      </c>
      <c r="E1" s="90" t="s">
        <v>187</v>
      </c>
    </row>
    <row outlineLevel="0" r="2">
      <c r="A2" s="144" t="inlineStr">
        <is>
          <t>FP</t>
        </is>
      </c>
      <c r="B2" s="144" t="inlineStr">
        <is>
          <t>2023/24</t>
        </is>
      </c>
      <c r="C2" s="144" t="inlineStr">
        <is>
          <t>Avon</t>
        </is>
      </c>
      <c r="D2" s="144" t="inlineStr">
        <is>
          <t>Community safety advocate(s)</t>
        </is>
      </c>
      <c r="E2" s="144" t="inlineStr">
        <is>
          <t>3053</t>
        </is>
      </c>
    </row>
    <row outlineLevel="0" r="3">
      <c r="A3" s="144" t="inlineStr">
        <is>
          <t>FP</t>
        </is>
      </c>
      <c r="B3" s="144" t="inlineStr">
        <is>
          <t>2023/24</t>
        </is>
      </c>
      <c r="C3" s="144" t="inlineStr">
        <is>
          <t>Avon</t>
        </is>
      </c>
      <c r="D3" s="144" t="inlineStr">
        <is>
          <t>Fire control partner(s)</t>
        </is>
      </c>
      <c r="E3" s="144" t="inlineStr">
        <is>
          <t>0</t>
        </is>
      </c>
    </row>
    <row outlineLevel="0" r="4">
      <c r="A4" s="144" t="inlineStr">
        <is>
          <t>FP</t>
        </is>
      </c>
      <c r="B4" s="144" t="inlineStr">
        <is>
          <t>2023/24</t>
        </is>
      </c>
      <c r="C4" s="144" t="inlineStr">
        <is>
          <t>Avon</t>
        </is>
      </c>
      <c r="D4" s="144" t="inlineStr">
        <is>
          <t>Firefighter(s)</t>
        </is>
      </c>
      <c r="E4" s="144" t="inlineStr">
        <is>
          <t>4935</t>
        </is>
      </c>
    </row>
    <row outlineLevel="0" r="5">
      <c r="A5" s="144" t="inlineStr">
        <is>
          <t>FP</t>
        </is>
      </c>
      <c r="B5" s="144" t="inlineStr">
        <is>
          <t>2023/24</t>
        </is>
      </c>
      <c r="C5" s="144" t="inlineStr">
        <is>
          <t>Avon</t>
        </is>
      </c>
      <c r="D5" s="144" t="inlineStr">
        <is>
          <t>FRS volunteer(s)</t>
        </is>
      </c>
      <c r="E5" s="144" t="inlineStr">
        <is>
          <t>0</t>
        </is>
      </c>
    </row>
    <row outlineLevel="0" r="6">
      <c r="A6" s="144" t="inlineStr">
        <is>
          <t>FP</t>
        </is>
      </c>
      <c r="B6" s="144" t="inlineStr">
        <is>
          <t>2023/24</t>
        </is>
      </c>
      <c r="C6" s="144" t="inlineStr">
        <is>
          <t>Avon</t>
        </is>
      </c>
      <c r="D6" s="144" t="inlineStr">
        <is>
          <t>Non-operational fire prevention staff</t>
        </is>
      </c>
      <c r="E6" s="144" t="inlineStr">
        <is>
          <t>0</t>
        </is>
      </c>
    </row>
    <row outlineLevel="0" r="7">
      <c r="A7" s="144" t="inlineStr">
        <is>
          <t>FP</t>
        </is>
      </c>
      <c r="B7" s="144" t="inlineStr">
        <is>
          <t>2023/24</t>
        </is>
      </c>
      <c r="C7" s="144" t="inlineStr">
        <is>
          <t>Avon</t>
        </is>
      </c>
      <c r="D7" s="144" t="inlineStr">
        <is>
          <t>Other</t>
        </is>
      </c>
      <c r="E7" s="144" t="inlineStr">
        <is>
          <t>0</t>
        </is>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5"/>
  <cols>
    <col min="1" max="1" width="106.7265625" bestFit="1" customWidth="1"/>
    <col min="2" max="3" width="15.7265625" customWidth="1"/>
    <col min="5" max="5" width="91.26953125" bestFit="1" customWidth="1"/>
    <col min="6" max="6" width="7" bestFit="1" customWidth="1"/>
  </cols>
  <sheetData>
    <row r="4" spans="1:3">
      <c r="A4" s="80" t="s">
        <v>189</v>
      </c>
      <c r="B4" s="81" t="str">
        <f>VLOOKUP(Cover!A6,Cover!B319:D325,3,FALSE)</f>
        <v>2024/25</v>
      </c>
      <c r="C4" s="82" t="str">
        <f>Cover!A10</f>
        <v>Avon</v>
      </c>
    </row>
    <row r="9" spans="1:3">
      <c r="B9" t="s">
        <v>190</v>
      </c>
      <c r="C9" t="s">
        <v>191</v>
      </c>
    </row>
    <row r="10" spans="1:3">
      <c r="A10" t="s">
        <v>192</v>
      </c>
      <c r="B10">
        <f>SUMPRODUCT(('FP1a - PY data'!$A$2:$A$100000='FP1 PY'!$A$4)*('FP1a - PY data'!$B$2:$B$100000='FP1 PY'!$B$4)*('FP1a - PY data'!$C$2:$C$100000='FP1 PY'!$C$4)*('FP1a - PY data'!$D$2:$D$100000='FP1 PY'!$A10)*('FP1a - PY data'!$E$2:$E$100000='FP1 PY'!B$9)*('FP1a - PY data'!$F$2:$F$100000))</f>
        <v>0</v>
      </c>
      <c r="C10">
        <f>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f>SUMPRODUCT(('FP1a - PY data'!$A$2:$A$100000='FP1 PY'!$A$4)*('FP1a - PY data'!$B$2:$B$100000='FP1 PY'!$B$4)*('FP1a - PY data'!$C$2:$C$100000='FP1 PY'!$C$4)*('FP1a - PY data'!$D$2:$D$100000='FP1 PY'!$A16)*('FP1a - PY data'!$E$2:$E$100000='FP1 PY'!B$9)*('FP1a - PY data'!$F$2:$F$100000))</f>
        <v>0</v>
      </c>
      <c r="C16">
        <f>SUMPRODUCT(('FP1a - PY data'!$A$2:$A$100000='FP1 PY'!$A$4)*('FP1a - PY data'!$B$2:$B$100000='FP1 PY'!$B$4)*('FP1a - PY data'!$C$2:$C$100000='FP1 PY'!$C$4)*('FP1a - PY data'!$D$2:$D$100000='FP1 PY'!$A16)*('FP1a - PY data'!$E$2:$E$100000='FP1 PY'!C$9)*('FP1a - PY data'!$F$2:$F$100000))</f>
        <v>0</v>
      </c>
    </row>
    <row r="23" spans="1:2">
      <c r="B23" t="s">
        <v>194</v>
      </c>
    </row>
    <row r="25" spans="1:2">
      <c r="A25" t="s">
        <v>195</v>
      </c>
      <c r="B25">
        <f>SUMPRODUCT(('FP1b - PY data'!$A$2:$A$100000='FP1 PY'!$A$4)*('FP1b - PY data'!$B$2:$B$100000='FP1 PY'!$B$4)*('FP1b - PY data'!$C$2:$C$100000='FP1 PY'!$C$4)*('FP1b - PY data'!$D$2:$D$100000='FP1 PY'!$A25)*('FP1b - PY data'!$E$2:$E$100000))</f>
        <v>0</v>
      </c>
    </row>
    <row r="26" spans="1:2">
      <c r="A26" t="s">
        <v>196</v>
      </c>
      <c r="B26">
        <f>SUMPRODUCT(('FP1b - PY data'!$A$2:$A$100000='FP1 PY'!$A$4)*('FP1b - PY data'!$B$2:$B$100000='FP1 PY'!$B$4)*('FP1b - PY data'!$C$2:$C$100000='FP1 PY'!$C$4)*('FP1b - PY data'!$D$2:$D$100000='FP1 PY'!$A26)*('FP1b - PY data'!$E$2:$E$100000))</f>
        <v>0</v>
      </c>
    </row>
    <row r="27" spans="1:2">
      <c r="A27" t="s">
        <v>197</v>
      </c>
      <c r="B27">
        <f>SUMPRODUCT(('FP1b - PY data'!$A$2:$A$100000='FP1 PY'!$A$4)*('FP1b - PY data'!$B$2:$B$100000='FP1 PY'!$B$4)*('FP1b - PY data'!$C$2:$C$100000='FP1 PY'!$C$4)*('FP1b - PY data'!$D$2:$D$100000='FP1 PY'!$A27)*('FP1b - PY data'!$E$2:$E$100000))</f>
        <v>0</v>
      </c>
    </row>
    <row r="28" spans="1:2">
      <c r="A28" t="s">
        <v>198</v>
      </c>
      <c r="B28">
        <f>SUMPRODUCT(('FP1b - PY data'!$A$2:$A$100000='FP1 PY'!$A$4)*('FP1b - PY data'!$B$2:$B$100000='FP1 PY'!$B$4)*('FP1b - PY data'!$C$2:$C$100000='FP1 PY'!$C$4)*('FP1b - PY data'!$D$2:$D$100000='FP1 PY'!$A28)*('FP1b - PY data'!$E$2:$E$100000))</f>
        <v>0</v>
      </c>
    </row>
    <row r="29" spans="1:2">
      <c r="A29" t="s">
        <v>199</v>
      </c>
      <c r="B29">
        <f>SUMPRODUCT(('FP1b - PY data'!$A$2:$A$100000='FP1 PY'!$A$4)*('FP1b - PY data'!$B$2:$B$100000='FP1 PY'!$B$4)*('FP1b - PY data'!$C$2:$C$100000='FP1 PY'!$C$4)*('FP1b - PY data'!$D$2:$D$100000='FP1 PY'!$A29)*('FP1b - PY data'!$E$2:$E$100000))</f>
        <v>0</v>
      </c>
    </row>
    <row r="30" spans="1:2">
      <c r="A30" t="s">
        <v>200</v>
      </c>
      <c r="B30">
        <f>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7D9A9F2-003B-4A7D-BEE4-A8C5A6BBEDAA}">
  <sheetPr codeName="Sheet1">
    <tabColor rgb="FFFF0000"/>
  </sheetPr>
  <dimension ref="A1:F5"/>
  <sheetViews>
    <sheetView workbookViewId="0" rightToLeft="false">
      <selection activeCell="I12" sqref="I12"/>
    </sheetView>
  </sheetViews>
  <sheetFormatPr defaultRowHeight="12.5"/>
  <cols>
    <col min="1" max="1" width="7.1796875" bestFit="1" customWidth="1"/>
    <col min="2" max="2" width="16.7265625" bestFit="1" customWidth="1"/>
    <col min="3" max="3" width="11.1796875" bestFit="1" customWidth="1"/>
    <col min="4" max="4" width="15.81640625" bestFit="1" customWidth="1"/>
    <col min="5" max="5" width="12.81640625" bestFit="1" customWidth="1"/>
    <col min="6" max="6" width="6.7265625" style="90" bestFit="1" customWidth="1"/>
  </cols>
  <sheetData>
    <row spans="1:6" outlineLevel="0" r="1">
      <c r="A1" t="s">
        <v>182</v>
      </c>
      <c r="B1" t="s">
        <v>183</v>
      </c>
      <c r="C1" t="s">
        <v>184</v>
      </c>
      <c r="D1" t="s">
        <v>185</v>
      </c>
      <c r="E1" t="s">
        <v>186</v>
      </c>
      <c r="F1" s="90" t="s">
        <v>187</v>
      </c>
    </row>
    <row outlineLevel="0" r="2">
      <c r="A2" s="144" t="inlineStr">
        <is>
          <t>FP</t>
        </is>
      </c>
      <c r="B2" s="144" t="inlineStr">
        <is>
          <t>2023/24</t>
        </is>
      </c>
      <c r="C2" s="144" t="inlineStr">
        <is>
          <t>Avon</t>
        </is>
      </c>
      <c r="D2" s="144" t="inlineStr">
        <is>
          <t>FRS</t>
        </is>
      </c>
      <c r="E2" s="144" t="inlineStr">
        <is>
          <t>Face to face</t>
        </is>
      </c>
      <c r="F2" s="144" t="inlineStr">
        <is>
          <t>5069</t>
        </is>
      </c>
    </row>
    <row outlineLevel="0" r="3">
      <c r="A3" s="144" t="inlineStr">
        <is>
          <t>FP</t>
        </is>
      </c>
      <c r="B3" s="144" t="inlineStr">
        <is>
          <t>2023/24</t>
        </is>
      </c>
      <c r="C3" s="144" t="inlineStr">
        <is>
          <t>Avon</t>
        </is>
      </c>
      <c r="D3" s="144" t="inlineStr">
        <is>
          <t>FRS</t>
        </is>
      </c>
      <c r="E3" s="144" t="inlineStr">
        <is>
          <t>Virtual</t>
        </is>
      </c>
      <c r="F3" s="144" t="inlineStr">
        <is>
          <t>0</t>
        </is>
      </c>
    </row>
    <row outlineLevel="0" r="4">
      <c r="A4" s="144" t="inlineStr">
        <is>
          <t>FP</t>
        </is>
      </c>
      <c r="B4" s="144" t="inlineStr">
        <is>
          <t>2023/24</t>
        </is>
      </c>
      <c r="C4" s="144" t="inlineStr">
        <is>
          <t>Avon</t>
        </is>
      </c>
      <c r="D4" s="144" t="inlineStr">
        <is>
          <t>Partners</t>
        </is>
      </c>
      <c r="E4" s="144" t="inlineStr">
        <is>
          <t>Face to face</t>
        </is>
      </c>
      <c r="F4" s="144" t="inlineStr">
        <is>
          <t>0</t>
        </is>
      </c>
    </row>
    <row outlineLevel="0" r="5">
      <c r="A5" s="144" t="inlineStr">
        <is>
          <t>FP</t>
        </is>
      </c>
      <c r="B5" s="144" t="inlineStr">
        <is>
          <t>2023/24</t>
        </is>
      </c>
      <c r="C5" s="144" t="inlineStr">
        <is>
          <t>Avon</t>
        </is>
      </c>
      <c r="D5" s="144" t="inlineStr">
        <is>
          <t>Partners</t>
        </is>
      </c>
      <c r="E5" s="144" t="inlineStr">
        <is>
          <t>Virtual</t>
        </is>
      </c>
      <c r="F5" s="144" t="inlineStr">
        <is>
          <t>0</t>
        </is>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5"/>
  <cols>
    <col min="1" max="1" width="9.1796875" customWidth="1"/>
    <col min="6" max="6" width="9" bestFit="1" customWidth="1"/>
    <col min="7" max="7" width="10.81640625" customWidth="1"/>
  </cols>
  <sheetData>
    <row r="1" spans="1:8" s="106" customFormat="1" ht="45.75" customHeight="1">
      <c r="A1" s="105" t="s">
        <v>201</v>
      </c>
      <c r="B1" s="106">
        <f>COUNTIF(3:9,"No, check notes and consider email to FRS")</f>
        <v>1</v>
      </c>
    </row>
    <row r="2" spans="1:8" s="106" customFormat="1"/>
    <row r="3" spans="1:8" ht="100">
      <c r="A3" s="92" t="s">
        <v>202</v>
      </c>
      <c r="B3" s="94" t="s">
        <v>203</v>
      </c>
      <c r="C3" s="94" t="s">
        <v>204</v>
      </c>
      <c r="D3" s="92" t="s">
        <v>205</v>
      </c>
      <c r="E3" s="92" t="s">
        <v>206</v>
      </c>
      <c r="F3" s="92" t="s">
        <v>207</v>
      </c>
      <c r="G3" s="92" t="s">
        <v>208</v>
      </c>
      <c r="H3" s="92" t="s">
        <v>209</v>
      </c>
    </row>
    <row r="4" spans="1:8" ht="6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5"/>
  <cols>
    <col min="1" max="1" width="23.26953125" bestFit="1" customWidth="1"/>
    <col min="2" max="2" width="4" customWidth="1"/>
    <col min="3" max="3" width="21.1796875" bestFit="1" customWidth="1"/>
    <col min="4" max="4" width="4.1796875" customWidth="1"/>
  </cols>
  <sheetData>
    <row r="1" spans="1:3" ht="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Access</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vt:lpstr>
      <vt:lpstr>Guidance</vt:lpstr>
      <vt:lpstr>FP1</vt:lpstr>
      <vt:lpstr>QA checks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Microsoft Access User</cp:lastModifiedBy>
  <cp:revision/>
  <dcterms:created xsi:type="dcterms:W3CDTF">2010-01-04T09:27:31Z</dcterms:created>
  <dcterms:modified xsi:type="dcterms:W3CDTF">2026-02-24T20:34:00Z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