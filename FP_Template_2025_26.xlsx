
<file path=[Content_Types].xml><?xml version="1.0" encoding="utf-8"?>
<Types xmlns="http://schemas.openxmlformats.org/package/2006/content-types">
  <Default Extension="bin" ContentType="application/vnd.openxmlformats-officedocument.spreadsheetml.printerSettings"/>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
    </mc:Choice>
  </mc:AlternateContent>
  <xr:revisionPtr revIDLastSave="180" documentId="121_{C7F1AE77-87FF-4C78-B0B4-F609B12C1F63}" xr6:coauthVersionLast="47" xr6:coauthVersionMax="47" xr10:uidLastSave="{D48F938C-DF3E-443D-ACC3-8FD7232994DA}"/>
  <bookViews>
    <workbookView xWindow="-110" yWindow="-110" windowWidth="22780" windowHeight="14540" xr2:uid="{2C8E1A28-4B62-47E2-BD11-71AC1EC6AA74}"/>
  </bookViews>
  <sheets>
    <sheet name="Cover" sheetId="6" r:id="rId1"/>
    <sheet name="Guidance" sheetId="3" r:id="rId2"/>
    <sheet name="FP1" sheetId="20" r:id="rId3"/>
    <sheet name="FP1b - PY data" sheetId="25" r:id="rId4"/>
    <sheet name="FP1 PY" sheetId="23" r:id="rId5"/>
    <sheet name="FP1a - PY data" sheetId="22"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9"/>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B16" i="23" s="1" a="1"/>
  <c r="B16" i="23" s="1"/>
  <c r="C250" i="6"/>
  <c r="C10" i="23" l="1" a="1"/>
  <c r="C10" i="23" s="1"/>
  <c r="C12" i="23" s="1"/>
  <c r="B10" i="23" a="1"/>
  <c r="B10" i="23" s="1"/>
  <c r="B30" i="23" a="1"/>
  <c r="B30" i="23" s="1"/>
  <c r="C16" i="23" a="1"/>
  <c r="C16" i="23" s="1"/>
  <c r="B29" i="23" a="1"/>
  <c r="B29" i="23" s="1"/>
  <c r="B25" i="23" a="1"/>
  <c r="B25" i="23" s="1"/>
  <c r="B28" i="23" a="1"/>
  <c r="B28" i="23" s="1"/>
  <c r="B27" i="23" a="1"/>
  <c r="B27" i="23" s="1"/>
  <c r="B26" i="23" a="1"/>
  <c r="B26" i="23" s="1"/>
  <c r="F4" i="26" l="1"/>
  <c r="B1" i="26" s="1"/>
  <c r="B12" i="2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<sst xmlns="http://schemas.openxmlformats.org/spreadsheetml/2006/main" count="228" uniqueCount="217">
  <si>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</si>
  <si>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</si>
  <si>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</si>
  <si>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</si>
  <si>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</si>
  <si>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</si>
  <si>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</si>
  <si>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</si>
  <si>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</si>
  <si>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</si>
  <si>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</si>
  <si>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</si>
  <si>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</si>
  <si>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</si>
  <si>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</si>
  <si>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</si>
  <si>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</si>
  <si>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</si>
  <si>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</si>
  <si>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</si>
  <si>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</si>
  <si>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</si>
  <si>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</si>
  <si>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</si>
  <si>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</si>
  <si>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</si>
  <si>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</si>
  <si>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</si>
  <si>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</si>
  <si>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</si>
  <si>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</si>
  <si>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</si>
  <si>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</si>
  <si>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</si>
  <si>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</si>
  <si>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</si>
  <si>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</si>
  <si>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</si>
  <si>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</si>
  <si>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</si>
  <si>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</si>
  <si>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</si>
  <si>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</si>
  <si>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</si>
  <si>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</si>
  <si>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</si>
  <si>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</si>
  <si>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</si>
  <si>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</si>
  <si>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</si>
  <si>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</si>
  <si>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</si>
  <si>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</si>
  <si>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</si>
  <si>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</si>
  <si>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</si>
  <si>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</si>
  <si>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</si>
  <si>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</si>
  <si>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</si>
  <si>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</si>
  <si>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</si>
  <si>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</si>
  <si>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</si>
  <si>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</si>
  <si>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</si>
  <si>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</si>
  <si>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</si>
  <si>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</si>
  <si>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</si>
  <si>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</si>
  <si>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</si>
  <si>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</si>
  <si>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</si>
  <si>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</si>
  <si>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</si>
  <si>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</si>
  <si>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</si>
  <si>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</si>
  <si>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</si>
  <si>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</si>
  <si>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</si>
  <si>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</si>
  <si>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</si>
  <si>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</si>
  <si>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</si>
  <si>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</si>
  <si>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</si>
  <si>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</si>
  <si>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</si>
  <si>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</si>
  <si>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</si>
  <si>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</si>
  <si>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</si>
  <si>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</si>
  <si>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</si>
  <si>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</si>
  <si>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</si>
  <si>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</si>
  <si>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</si>
  <si>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</si>
  <si>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</si>
  <si>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</si>
  <si>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</si>
  <si>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</si>
  <si>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</si>
  <si>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</si>
  <si>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</si>
  <si>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</si>
  <si>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</si>
  <si>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</si>
  <si>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</si>
  <si>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</si>
  <si>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</si>
  <si>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</si>
  <si>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</si>
  <si>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</si>
  <si>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</si>
  <si>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</si>
  <si>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</si>
  <si>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</si>
  <si>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</si>
  <si>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</si>
  <si>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</si>
  <si>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</si>
  <si>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</si>
  <si>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</si>
  <si>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</si>
  <si>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</si>
  <si>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</si>
  <si>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</si>
  <si>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</si>
  <si>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</si>
  <si>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</si>
  <si>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</si>
  <si>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</si>
  <si>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</si>
  <si>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</si>
  <si>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</si>
  <si>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</si>
  <si>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</si>
  <si>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</si>
  <si>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</si>
  <si>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</si>
  <si>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</si>
  <si>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</si>
  <si>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</si>
  <si>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</si>
  <si>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</si>
  <si>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</si>
  <si>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</si>
  <si>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</si>
  <si>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</si>
  <si>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</si>
  <si>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</si>
  <si>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</si>
  <si>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</si>
  <si>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</si>
  <si>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</si>
  <si>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</si>
  <si>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</si>
  <si>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</si>
  <si>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</si>
  <si>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</si>
  <si>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</si>
  <si>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</si>
  <si>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</si>
  <si>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</si>
  <si>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</si>
  <si>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</si>
  <si>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</si>
  <si>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</si>
  <si>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</si>
  <si>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</si>
  <si>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</si>
  <si>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</si>
  <si>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</si>
  <si>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</si>
  <si>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</si>
  <si>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</si>
  <si>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</si>
  <si>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</si>
  <si>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</si>
  <si>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</si>
  <si>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</si>
  <si>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</si>
  <si>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</si>
  <si>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</si>
  <si>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</si>
  <si>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</si>
  <si>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</si>
  <si>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</si>
  <si>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</si>
  <si>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</si>
  <si>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</si>
  <si>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</si>
  <si>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</si>
  <si>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</si>
  <si>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</si>
  <si>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</si>
  <si>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</si>
  <si>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</si>
  <si>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</si>
  <si>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</si>
  <si>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</si>
  <si>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</si>
  <si>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</si>
  <si>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</si>
  <si>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</si>
  <si>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</si>
  <si>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</si>
  <si>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</si>
  <si>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</si>
  <si>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</si>
  <si>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</si>
  <si>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t>FP1 - Home Fire Safety Visits 1st April 2025 - 31st March 2026</t>
  </si>
  <si>
    <r>
      <t xml:space="preserve">Please complete by </t>
    </r>
    <r>
      <rPr>
        <b/>
        <sz val="11"/>
        <rFont val="Arial"/>
        <family val="2"/>
      </rPr>
      <t>Friday 1 May 2026</t>
    </r>
    <r>
      <rPr>
        <sz val="11"/>
        <rFont val="Arial"/>
        <family val="2"/>
      </rPr>
      <t xml:space="preserve"> and send the spreadsheet as an attachment via e-mail to firestatistics@communities.gov.uk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</si>
</sst>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fif"/></Relationships>
</file>

<file path=xl/drawings/_rels/drawing2.xml.rels><?xml version="1.0" encoding="UTF-8" standalone="yes"?>
<Relationships xmlns="http://schemas.openxmlformats.org/package/2006/relationships"><Relationship Id="rId1" Type="http://schemas.openxmlformats.org/officeDocument/2006/relationships/image" Target="../media/image1.jfif"/></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38100</xdr:rowOff>
    </xdr:from>
    <xdr:ext cx="1685191" cy="876300"/>
    <xdr:pic>
      <xdr:nvPicPr>
        <xdr:cNvPr id="3" name="Picture 2" descr="Ministry of Housing, Communities and Local Government logo">
          <a:extLst>
            <a:ext uri="{FF2B5EF4-FFF2-40B4-BE49-F238E27FC236}">
              <a16:creationId xmlns:a16="http://schemas.microsoft.com/office/drawing/2014/main" id="{B87DC29D-52D4-4D87-990E-A1F8BA68AF01}"/>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9050" y="38100"/>
          <a:ext cx="1685191" cy="876300"/>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38100</xdr:colOff>
      <xdr:row>0</xdr:row>
      <xdr:rowOff>57150</xdr:rowOff>
    </xdr:from>
    <xdr:ext cx="1685191" cy="876300"/>
    <xdr:pic>
      <xdr:nvPicPr>
        <xdr:cNvPr id="3" name="Picture 2" descr="Ministry of Housing, Communities and Local Government logo">
          <a:extLst>
            <a:ext uri="{FF2B5EF4-FFF2-40B4-BE49-F238E27FC236}">
              <a16:creationId xmlns:a16="http://schemas.microsoft.com/office/drawing/2014/main" id="{948722FA-387D-48CC-893A-C9EF2F788940}"/>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8100" y="57150"/>
          <a:ext cx="1685191" cy="876300"/>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6" sqref="A6:F6"/>
    </sheetView>
  </sheetViews>
  <sheetFormatPr defaultColWidth="9.1796875" defaultRowHeight="15" customHeight="1"/>
  <cols>
    <col min="1" max="1" width="17.81640625" style="5" customWidth="1"/>
    <col min="2" max="2" width="20.54296875" style="5" customWidth="1"/>
    <col min="3" max="3" width="34.453125" style="5" customWidth="1"/>
    <col min="4" max="6" width="20.54296875" style="5" customWidth="1"/>
    <col min="7" max="7" width="3" style="5" customWidth="1"/>
    <col min="8" max="9" width="18.54296875" style="5" customWidth="1"/>
    <col min="10" max="16384" width="9.179687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49999999999999"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5"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5" customHeight="1" thickBot="1">
      <c r="A10" s="132" t="str">
        <f>VLOOKUP(B250,B251:D316,2,FALSE)</f>
        <v>West Yorkshire</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E31000045</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5"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ht="14">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5"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216</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5"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44</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zoomScaleNormal="100" workbookViewId="0">
      <selection activeCell="B23" sqref="B23"/>
    </sheetView>
  </sheetViews>
  <sheetFormatPr defaultColWidth="9.1796875" defaultRowHeight="42" customHeight="1"/>
  <cols>
    <col min="1" max="1" width="43.453125" style="10" customWidth="1"/>
    <col min="2" max="2" width="106.1796875" style="10" customWidth="1"/>
    <col min="3" max="3" width="74" style="10" customWidth="1"/>
    <col min="4" max="16384" width="9.1796875" style="10"/>
  </cols>
  <sheetData>
    <row r="1" spans="1:17" ht="20">
      <c r="A1" s="135" t="s">
        <v>116</v>
      </c>
      <c r="B1" s="135"/>
      <c r="C1" s="45"/>
      <c r="D1" s="45"/>
      <c r="E1" s="45"/>
      <c r="F1" s="45"/>
      <c r="G1" s="45"/>
      <c r="H1" s="45"/>
      <c r="I1" s="45"/>
      <c r="J1" s="45"/>
      <c r="K1" s="45"/>
      <c r="L1" s="45"/>
      <c r="M1" s="45"/>
      <c r="N1" s="45"/>
      <c r="O1" s="45"/>
      <c r="P1" s="45"/>
      <c r="Q1" s="45"/>
    </row>
    <row r="2" spans="1:17" ht="20">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5">
      <c r="A6" s="47"/>
      <c r="B6" s="47"/>
      <c r="C6" s="45"/>
      <c r="D6" s="45"/>
      <c r="E6" s="45"/>
      <c r="F6" s="45"/>
      <c r="G6" s="45"/>
      <c r="H6" s="45"/>
      <c r="I6" s="45"/>
      <c r="J6" s="45"/>
      <c r="K6" s="45"/>
      <c r="L6" s="45"/>
      <c r="M6" s="45"/>
      <c r="N6" s="45"/>
      <c r="O6" s="45"/>
      <c r="P6" s="45"/>
      <c r="Q6" s="45"/>
    </row>
    <row r="7" spans="1:17" ht="15.5">
      <c r="A7" s="48" t="s">
        <v>118</v>
      </c>
      <c r="B7" s="45"/>
      <c r="C7" s="45"/>
      <c r="D7" s="45"/>
      <c r="E7" s="45"/>
      <c r="F7" s="45"/>
      <c r="G7" s="45"/>
      <c r="H7" s="45"/>
      <c r="I7" s="45"/>
      <c r="J7" s="45"/>
      <c r="K7" s="45"/>
      <c r="L7" s="45"/>
      <c r="M7" s="45"/>
      <c r="N7" s="45"/>
      <c r="O7" s="45"/>
      <c r="P7" s="45"/>
      <c r="Q7" s="45"/>
    </row>
    <row r="8" spans="1:17" ht="15.5">
      <c r="A8" s="48"/>
      <c r="B8" s="45"/>
      <c r="C8" s="45"/>
      <c r="D8" s="45"/>
      <c r="E8" s="45"/>
      <c r="F8" s="45"/>
      <c r="G8" s="45"/>
      <c r="H8" s="45"/>
      <c r="I8" s="45"/>
      <c r="J8" s="45"/>
      <c r="K8" s="45"/>
      <c r="L8" s="45"/>
      <c r="M8" s="45"/>
      <c r="N8" s="45"/>
      <c r="O8" s="45"/>
      <c r="P8" s="45"/>
      <c r="Q8" s="45"/>
    </row>
    <row r="9" spans="1:17" ht="108.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5"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5"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5">
      <c r="A23" s="50"/>
      <c r="B23" s="47"/>
      <c r="C23" s="45"/>
      <c r="D23" s="45"/>
      <c r="E23" s="45"/>
      <c r="F23" s="45"/>
      <c r="G23" s="45"/>
      <c r="H23" s="45"/>
      <c r="I23" s="45"/>
      <c r="J23" s="45"/>
      <c r="K23" s="45"/>
      <c r="L23" s="45"/>
      <c r="M23" s="45"/>
      <c r="N23" s="45"/>
      <c r="O23" s="45"/>
      <c r="P23" s="45"/>
      <c r="Q23" s="45"/>
    </row>
    <row r="24" spans="1:17" ht="15.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5">
      <c r="A31" s="50"/>
      <c r="B31" s="47"/>
      <c r="C31" s="45"/>
      <c r="D31" s="45"/>
      <c r="E31" s="45"/>
      <c r="F31" s="45"/>
      <c r="G31" s="45"/>
      <c r="H31" s="45"/>
      <c r="I31" s="45"/>
      <c r="J31" s="45"/>
      <c r="K31" s="45"/>
      <c r="L31" s="45"/>
      <c r="M31" s="45"/>
      <c r="N31" s="45"/>
      <c r="O31" s="45"/>
      <c r="P31" s="45"/>
      <c r="Q31" s="45"/>
    </row>
    <row r="32" spans="1:17" ht="15.5">
      <c r="A32" s="49" t="s">
        <v>141</v>
      </c>
      <c r="B32" s="47" t="s">
        <v>142</v>
      </c>
      <c r="C32" s="45"/>
      <c r="D32" s="45"/>
      <c r="E32" s="45"/>
      <c r="F32" s="45"/>
      <c r="G32" s="45"/>
      <c r="H32" s="45"/>
      <c r="I32" s="45"/>
      <c r="J32" s="45"/>
      <c r="K32" s="45"/>
      <c r="L32" s="45"/>
      <c r="M32" s="45"/>
      <c r="N32" s="45"/>
      <c r="O32" s="45"/>
      <c r="P32" s="45"/>
      <c r="Q32" s="45"/>
    </row>
    <row r="33" spans="1:17" ht="15.5">
      <c r="A33" s="47"/>
      <c r="B33" s="45"/>
      <c r="C33" s="45"/>
      <c r="D33" s="45"/>
      <c r="E33" s="45"/>
      <c r="F33" s="45"/>
      <c r="G33" s="45"/>
      <c r="H33" s="45"/>
      <c r="I33" s="45"/>
      <c r="J33" s="45"/>
      <c r="K33" s="45"/>
      <c r="L33" s="45"/>
      <c r="M33" s="45"/>
      <c r="N33" s="45"/>
      <c r="O33" s="45"/>
      <c r="P33" s="45"/>
      <c r="Q33" s="45"/>
    </row>
    <row r="34" spans="1:17" ht="31">
      <c r="A34" s="49" t="s">
        <v>143</v>
      </c>
      <c r="B34" s="47" t="s">
        <v>144</v>
      </c>
      <c r="C34" s="45"/>
      <c r="D34" s="45"/>
      <c r="E34" s="45"/>
      <c r="F34" s="45"/>
      <c r="G34" s="45"/>
      <c r="H34" s="45"/>
      <c r="I34" s="45"/>
      <c r="J34" s="45"/>
      <c r="K34" s="45"/>
      <c r="L34" s="45"/>
      <c r="M34" s="45"/>
      <c r="N34" s="45"/>
      <c r="O34" s="45"/>
      <c r="P34" s="45"/>
      <c r="Q34" s="45"/>
    </row>
    <row r="35" spans="1:17" ht="15.5">
      <c r="A35" s="49"/>
      <c r="B35" s="46" t="s">
        <v>145</v>
      </c>
      <c r="C35" s="46"/>
      <c r="D35" s="46"/>
      <c r="E35" s="46"/>
      <c r="F35" s="46"/>
      <c r="G35" s="46"/>
      <c r="H35" s="46"/>
      <c r="I35" s="46"/>
      <c r="J35" s="46"/>
      <c r="K35" s="46"/>
      <c r="L35" s="46"/>
      <c r="M35" s="45"/>
      <c r="N35" s="45"/>
      <c r="O35" s="45"/>
      <c r="P35" s="45"/>
      <c r="Q35" s="45"/>
    </row>
    <row r="36" spans="1:17" ht="31">
      <c r="A36" s="45"/>
      <c r="B36" s="74" t="s">
        <v>146</v>
      </c>
      <c r="C36" s="46"/>
      <c r="D36" s="46"/>
      <c r="E36" s="46"/>
      <c r="F36" s="46"/>
      <c r="G36" s="46"/>
      <c r="H36" s="46"/>
      <c r="I36" s="46"/>
      <c r="J36" s="46"/>
      <c r="K36" s="46"/>
      <c r="L36" s="46"/>
      <c r="M36" s="45"/>
      <c r="N36" s="45"/>
      <c r="O36" s="45"/>
      <c r="P36" s="45"/>
      <c r="Q36" s="45"/>
    </row>
    <row r="37" spans="1:17" ht="15.5">
      <c r="A37" s="45"/>
      <c r="B37" s="51"/>
      <c r="C37" s="45"/>
      <c r="D37" s="45"/>
      <c r="E37" s="45"/>
      <c r="F37" s="45"/>
      <c r="G37" s="45"/>
      <c r="H37" s="45"/>
      <c r="I37" s="45"/>
      <c r="J37" s="45"/>
      <c r="K37" s="45"/>
      <c r="L37" s="45"/>
      <c r="M37" s="45"/>
      <c r="N37" s="45"/>
      <c r="O37" s="45"/>
      <c r="P37" s="45"/>
      <c r="Q37" s="45"/>
    </row>
    <row r="38" spans="1:17" ht="35.5" customHeight="1">
      <c r="B38" s="46" t="s">
        <v>147</v>
      </c>
      <c r="C38" s="45"/>
      <c r="D38" s="45"/>
      <c r="E38" s="45"/>
      <c r="F38" s="45"/>
      <c r="G38" s="45"/>
      <c r="H38" s="45"/>
      <c r="I38" s="45"/>
      <c r="J38" s="45"/>
      <c r="K38" s="45"/>
      <c r="L38" s="45"/>
      <c r="M38" s="45"/>
      <c r="N38" s="45"/>
      <c r="O38" s="45"/>
      <c r="P38" s="45"/>
      <c r="Q38" s="45"/>
    </row>
    <row r="39" spans="1:17" ht="15.5">
      <c r="A39" s="52"/>
      <c r="B39" s="52"/>
      <c r="C39" s="45"/>
      <c r="D39" s="45"/>
      <c r="E39" s="45"/>
      <c r="F39" s="45"/>
      <c r="G39" s="45"/>
      <c r="H39" s="45"/>
      <c r="I39" s="45"/>
      <c r="J39" s="45"/>
      <c r="K39" s="45"/>
      <c r="L39" s="45"/>
      <c r="M39" s="45"/>
      <c r="N39" s="45"/>
      <c r="O39" s="45"/>
      <c r="P39" s="45"/>
      <c r="Q39" s="45"/>
    </row>
    <row r="40" spans="1:17" ht="139.5">
      <c r="A40" s="52" t="s">
        <v>148</v>
      </c>
      <c r="B40" s="50" t="s">
        <v>149</v>
      </c>
      <c r="C40" s="45"/>
      <c r="D40" s="45"/>
      <c r="E40" s="45"/>
      <c r="F40" s="45"/>
      <c r="G40" s="45"/>
      <c r="H40" s="45"/>
      <c r="I40" s="45"/>
      <c r="J40" s="45"/>
      <c r="K40" s="45"/>
      <c r="L40" s="45"/>
      <c r="M40" s="45"/>
      <c r="N40" s="45"/>
      <c r="O40" s="45"/>
      <c r="P40" s="45"/>
      <c r="Q40" s="45"/>
    </row>
    <row r="41" spans="1:17" ht="23.5" customHeight="1">
      <c r="A41" s="45"/>
      <c r="B41" s="45"/>
      <c r="C41" s="45"/>
      <c r="D41" s="45"/>
      <c r="E41" s="45"/>
      <c r="F41" s="45"/>
      <c r="G41" s="45"/>
      <c r="H41" s="45"/>
      <c r="I41" s="45"/>
      <c r="J41" s="45"/>
      <c r="K41" s="45"/>
      <c r="L41" s="45"/>
      <c r="M41" s="45"/>
      <c r="N41" s="45"/>
      <c r="O41" s="45"/>
      <c r="P41" s="45"/>
      <c r="Q41" s="45"/>
    </row>
    <row r="42" spans="1:17" ht="124">
      <c r="A42" s="49" t="s">
        <v>150</v>
      </c>
      <c r="B42" s="102" t="s">
        <v>151</v>
      </c>
      <c r="C42" s="45"/>
      <c r="D42" s="45"/>
      <c r="E42" s="45"/>
      <c r="F42" s="45"/>
      <c r="G42" s="45"/>
      <c r="H42" s="45"/>
      <c r="I42" s="45"/>
      <c r="J42" s="45"/>
      <c r="K42" s="45"/>
      <c r="L42" s="45"/>
      <c r="M42" s="45"/>
      <c r="N42" s="45"/>
      <c r="O42" s="45"/>
      <c r="P42" s="45"/>
      <c r="Q42" s="45"/>
    </row>
    <row r="43" spans="1:17" ht="12.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zoomScaleNormal="100" workbookViewId="0">
      <selection activeCell="A6" sqref="A6:C6"/>
    </sheetView>
  </sheetViews>
  <sheetFormatPr defaultColWidth="9.1796875" defaultRowHeight="12.5"/>
  <cols>
    <col min="1" max="1" width="109.54296875" style="2" bestFit="1" customWidth="1"/>
    <col min="2" max="2" width="36.453125" style="1" customWidth="1"/>
    <col min="3" max="3" width="40.1796875" style="1" customWidth="1"/>
    <col min="4" max="4" width="3.54296875" style="1" customWidth="1"/>
    <col min="5" max="5" width="79.453125" style="1" customWidth="1"/>
    <col min="6" max="6" width="12.1796875" style="1" customWidth="1"/>
    <col min="7" max="7" width="5.1796875" style="1" customWidth="1"/>
    <col min="8" max="19" width="7.453125" style="1" customWidth="1"/>
    <col min="20" max="16384" width="9.179687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215</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4"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5"/>
  <cols>
    <col min="4" max="4" width="30.453125" bestFit="1" customWidth="1"/>
    <col min="5" max="5" width="9.179687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5"/>
  <cols>
    <col min="1" max="1" width="106.7265625" bestFit="1" customWidth="1"/>
    <col min="2" max="3" width="15.7265625" customWidth="1"/>
    <col min="5" max="5" width="91.26953125" bestFit="1" customWidth="1"/>
    <col min="6" max="6" width="7" bestFit="1" customWidth="1"/>
  </cols>
  <sheetData>
    <row r="4" spans="1:3">
      <c r="A4" s="80" t="s">
        <v>189</v>
      </c>
      <c r="B4" s="81" t="str">
        <f>VLOOKUP(Cover!A6,Cover!B319:D325,3,FALSE)</f>
        <v>2024/25</v>
      </c>
      <c r="C4" s="82" t="str">
        <f>Cover!A10</f>
        <v>West Yorkshire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5"/>
  <cols>
    <col min="1" max="1" width="7.1796875" bestFit="1" customWidth="1"/>
    <col min="2" max="2" width="16.7265625" bestFit="1" customWidth="1"/>
    <col min="3" max="3" width="11.1796875" bestFit="1" customWidth="1"/>
    <col min="4" max="4" width="15.81640625" bestFit="1" customWidth="1"/>
    <col min="5" max="5" width="12.81640625" bestFit="1" customWidth="1"/>
    <col min="6" max="6" width="6.726562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5"/>
  <cols>
    <col min="1" max="1" width="9.1796875" customWidth="1"/>
    <col min="6" max="6" width="9" bestFit="1" customWidth="1"/>
    <col min="7" max="7" width="10.81640625" customWidth="1"/>
  </cols>
  <sheetData>
    <row r="1" spans="1:8" s="106" customFormat="1" ht="45.75" customHeight="1">
      <c r="A1" s="105" t="s">
        <v>201</v>
      </c>
      <c r="B1" s="106">
        <f>COUNTIF(3:9,"No, check notes and consider email to FRS")</f>
        <v>1</v>
      </c>
    </row>
    <row r="2" spans="1:8" s="106" customFormat="1"/>
    <row r="3" spans="1:8" ht="100">
      <c r="A3" s="92" t="s">
        <v>202</v>
      </c>
      <c r="B3" s="94" t="s">
        <v>203</v>
      </c>
      <c r="C3" s="94" t="s">
        <v>204</v>
      </c>
      <c r="D3" s="92" t="s">
        <v>205</v>
      </c>
      <c r="E3" s="92" t="s">
        <v>206</v>
      </c>
      <c r="F3" s="92" t="s">
        <v>207</v>
      </c>
      <c r="G3" s="92" t="s">
        <v>208</v>
      </c>
      <c r="H3" s="92" t="s">
        <v>209</v>
      </c>
    </row>
    <row r="4" spans="1:8" ht="6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5"/>
  <cols>
    <col min="1" max="1" width="23.26953125" bestFit="1" customWidth="1"/>
    <col min="2" max="2" width="4" customWidth="1"/>
    <col min="3" max="3" width="21.1796875" bestFit="1" customWidth="1"/>
    <col min="4" max="4" width="4.1796875" customWidth="1"/>
  </cols>
  <sheetData>
    <row r="1" spans="1:3" ht="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2.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4.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FP1b - PY data</vt:lpstr>
      <vt:lpstr>FP1 PY</vt:lpstr>
      <vt:lpstr>FP1a - PY data</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2026-02-20T18:19:20Z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