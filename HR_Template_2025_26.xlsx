
<file path=[Content_Types].xml><?xml version="1.0" encoding="utf-8"?>
<Types xmlns="http://schemas.openxmlformats.org/package/2006/content-types">
  <Default Extension="bin" ContentType="application/vnd.openxmlformats-officedocument.spreadsheetml.printerSettings"/>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
    </mc:Choice>
  </mc:AlternateContent>
  <xr:revisionPtr revIDLastSave="114" documentId="8_{94E1DD43-DF62-4092-84B1-2B89EE78DDD8}" xr6:coauthVersionLast="47" xr6:coauthVersionMax="47" xr10:uidLastSave="{95889297-E33B-465B-AFF3-D921E3F8B204}"/>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E4" i="60"/>
  <c r="T13" i="60" s="1" a="1"/>
  <c r="T13" i="60" s="1"/>
  <c r="E4" i="59"/>
  <c r="B41" i="59" s="1" a="1"/>
  <c r="B41" i="59" s="1"/>
  <c r="E4" i="57"/>
  <c r="E4" i="56"/>
  <c r="B15" i="56" s="1" a="1"/>
  <c r="B15" i="56" s="1"/>
  <c r="E4" i="55"/>
  <c r="E4" i="53"/>
  <c r="E4" i="51"/>
  <c r="B36" i="60" a="1"/>
  <c r="B36" i="60" s="1"/>
  <c r="J21" i="60" a="1"/>
  <c r="J21" i="60" s="1"/>
  <c r="C21" i="60" a="1"/>
  <c r="C21" i="60" s="1"/>
  <c r="J20" i="60" a="1"/>
  <c r="J20" i="60" s="1"/>
  <c r="C20" i="60" a="1"/>
  <c r="C20" i="60" s="1"/>
  <c r="J19" i="60" a="1"/>
  <c r="J19" i="60" s="1"/>
  <c r="C19" i="60" a="1"/>
  <c r="C19" i="60" s="1"/>
  <c r="O14" i="60" a="1"/>
  <c r="O14" i="60"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C15" i="56" a="1"/>
  <c r="C15" i="56"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B26" i="51" s="1" a="1"/>
  <c r="B26" i="51" s="1"/>
  <c r="E13" i="56" l="1" a="1"/>
  <c r="E13" i="56" s="1"/>
  <c r="C13" i="56" a="1"/>
  <c r="C13" i="56" s="1"/>
  <c r="B14" i="56" a="1"/>
  <c r="B14" i="56" s="1"/>
  <c r="H25" i="59" a="1"/>
  <c r="H25" i="59" s="1"/>
  <c r="E13" i="60" a="1"/>
  <c r="E13" i="60" s="1"/>
  <c r="H68" i="60" a="1"/>
  <c r="H68" i="60" s="1"/>
  <c r="M13" i="59" a="1"/>
  <c r="M13" i="59" s="1"/>
  <c r="M16" i="59" a="1"/>
  <c r="M16" i="59" s="1"/>
  <c r="H14" i="59" a="1"/>
  <c r="H14" i="59" s="1"/>
  <c r="H22" i="59" a="1"/>
  <c r="H22" i="59" s="1"/>
  <c r="C15" i="59" a="1"/>
  <c r="C15" i="59" s="1"/>
  <c r="C12" i="60" a="1"/>
  <c r="C12" i="60" s="1"/>
  <c r="R15" i="59" a="1"/>
  <c r="R15" i="59" s="1"/>
  <c r="R12" i="60" a="1"/>
  <c r="R12" i="60" s="1"/>
  <c r="J12" i="60" a="1"/>
  <c r="J12" i="60" s="1"/>
  <c r="T12" i="60" a="1"/>
  <c r="T12" i="60" s="1"/>
  <c r="I12" i="56" a="1"/>
  <c r="I12" i="56" s="1"/>
  <c r="G41" i="56" a="1"/>
  <c r="G41" i="56" s="1"/>
  <c r="O42" i="56" a="1"/>
  <c r="O42" i="56" s="1"/>
  <c r="K44" i="56" a="1"/>
  <c r="K44" i="56" s="1"/>
  <c r="J31" i="56" a="1"/>
  <c r="J31" i="56" s="1"/>
  <c r="L35" i="56" a="1"/>
  <c r="L35" i="56" s="1"/>
  <c r="H41" i="56" a="1"/>
  <c r="H41" i="56" s="1"/>
  <c r="C43" i="56" a="1"/>
  <c r="C43" i="56" s="1"/>
  <c r="L44" i="56" a="1"/>
  <c r="L44" i="56" s="1"/>
  <c r="K31" i="56" a="1"/>
  <c r="K31" i="56" s="1"/>
  <c r="B31" i="56" a="1"/>
  <c r="B31" i="56" s="1"/>
  <c r="F34" i="56" a="1"/>
  <c r="F34" i="56" s="1"/>
  <c r="J41" i="56" a="1"/>
  <c r="J41" i="56" s="1"/>
  <c r="N44" i="56" a="1"/>
  <c r="N44" i="56" s="1"/>
  <c r="C35" i="56" a="1"/>
  <c r="C35" i="56" s="1"/>
  <c r="F43" i="56" a="1"/>
  <c r="F43" i="56" s="1"/>
  <c r="D31" i="56" a="1"/>
  <c r="D31" i="56" s="1"/>
  <c r="E44" i="56" a="1"/>
  <c r="E44" i="56" s="1"/>
  <c r="B34" i="56" a="1"/>
  <c r="B34" i="56" s="1"/>
  <c r="F41" i="56" a="1"/>
  <c r="F41" i="56" s="1"/>
  <c r="C34" i="56" a="1"/>
  <c r="C34" i="56" s="1"/>
  <c r="N42" i="56" a="1"/>
  <c r="N42" i="56" s="1"/>
  <c r="I41" i="56" a="1"/>
  <c r="I41" i="56" s="1"/>
  <c r="D43" i="56" a="1"/>
  <c r="D43" i="56" s="1"/>
  <c r="M44" i="56" a="1"/>
  <c r="M44" i="56" s="1"/>
  <c r="C31" i="56" a="1"/>
  <c r="C31" i="56" s="1"/>
  <c r="B35" i="56" a="1"/>
  <c r="B35" i="56" s="1"/>
  <c r="E43" i="56" a="1"/>
  <c r="E43" i="56" s="1"/>
  <c r="L31" i="56" a="1"/>
  <c r="L31" i="56" s="1"/>
  <c r="K41" i="56" a="1"/>
  <c r="K41" i="56" s="1"/>
  <c r="H32" i="56" a="1"/>
  <c r="H32" i="56" s="1"/>
  <c r="I42" i="56" a="1"/>
  <c r="I42" i="56" s="1"/>
  <c r="O45" i="56" a="1"/>
  <c r="O45" i="56" s="1"/>
  <c r="K42" i="56" a="1"/>
  <c r="K42" i="56" s="1"/>
  <c r="L42" i="56" a="1"/>
  <c r="L42" i="56" s="1"/>
  <c r="H31" i="56" a="1"/>
  <c r="H31" i="56" s="1"/>
  <c r="D34" i="56" a="1"/>
  <c r="D34" i="56" s="1"/>
  <c r="O44" i="56" a="1"/>
  <c r="O44" i="56" s="1"/>
  <c r="D35" i="56" a="1"/>
  <c r="D35" i="56" s="1"/>
  <c r="L34" i="56" a="1"/>
  <c r="L34" i="56" s="1"/>
  <c r="H35" i="56" a="1"/>
  <c r="H35" i="56" s="1"/>
  <c r="G32" i="56" a="1"/>
  <c r="G32" i="56" s="1"/>
  <c r="J44" i="56" a="1"/>
  <c r="J44" i="56" s="1"/>
  <c r="G43" i="56" a="1"/>
  <c r="G43" i="56" s="1"/>
  <c r="C45" i="56" a="1"/>
  <c r="C45" i="56" s="1"/>
  <c r="I32" i="56" a="1"/>
  <c r="I32" i="56" s="1"/>
  <c r="E31" i="56" a="1"/>
  <c r="E31" i="56" s="1"/>
  <c r="E35" i="56" a="1"/>
  <c r="E35" i="56" s="1"/>
  <c r="L41" i="56" a="1"/>
  <c r="L41" i="56" s="1"/>
  <c r="H43" i="56" a="1"/>
  <c r="H43" i="56" s="1"/>
  <c r="D45" i="56" a="1"/>
  <c r="D45" i="56" s="1"/>
  <c r="J32" i="56" a="1"/>
  <c r="J32" i="56" s="1"/>
  <c r="F35" i="56" a="1"/>
  <c r="F35" i="56" s="1"/>
  <c r="M45" i="56" a="1"/>
  <c r="M45" i="56" s="1"/>
  <c r="D33" i="56" a="1"/>
  <c r="D33" i="56" s="1"/>
  <c r="D41" i="56" a="1"/>
  <c r="D41" i="56" s="1"/>
  <c r="G44" i="56" a="1"/>
  <c r="G44" i="56" s="1"/>
  <c r="I35" i="56" a="1"/>
  <c r="I35" i="56" s="1"/>
  <c r="I44" i="56" a="1"/>
  <c r="I44" i="56" s="1"/>
  <c r="M41" i="56" a="1"/>
  <c r="M41" i="56" s="1"/>
  <c r="I43" i="56" a="1"/>
  <c r="I43" i="56" s="1"/>
  <c r="E45" i="56" a="1"/>
  <c r="E45" i="56" s="1"/>
  <c r="K32" i="56" a="1"/>
  <c r="K32" i="56" s="1"/>
  <c r="F31" i="56" a="1"/>
  <c r="F31" i="56" s="1"/>
  <c r="G31" i="56" a="1"/>
  <c r="G31" i="56" s="1"/>
  <c r="G34" i="56" a="1"/>
  <c r="G34" i="56" s="1"/>
  <c r="C33" i="56" a="1"/>
  <c r="C33" i="56" s="1"/>
  <c r="K34" i="56" a="1"/>
  <c r="K34" i="56" s="1"/>
  <c r="F33" i="56" a="1"/>
  <c r="F33" i="56" s="1"/>
  <c r="M42" i="56" a="1"/>
  <c r="M42" i="56" s="1"/>
  <c r="N41" i="56" a="1"/>
  <c r="N41" i="56" s="1"/>
  <c r="J43" i="56" a="1"/>
  <c r="J43" i="56" s="1"/>
  <c r="F45" i="56" a="1"/>
  <c r="F45" i="56" s="1"/>
  <c r="L32" i="56" a="1"/>
  <c r="L32" i="56" s="1"/>
  <c r="H42" i="56" a="1"/>
  <c r="H42" i="56" s="1"/>
  <c r="N45" i="56" a="1"/>
  <c r="N45" i="56" s="1"/>
  <c r="F44" i="56" a="1"/>
  <c r="F44" i="56" s="1"/>
  <c r="O41" i="56" a="1"/>
  <c r="O41" i="56" s="1"/>
  <c r="K43" i="56" a="1"/>
  <c r="K43" i="56" s="1"/>
  <c r="G45" i="56" a="1"/>
  <c r="G45" i="56" s="1"/>
  <c r="H33" i="56" a="1"/>
  <c r="H33" i="56" s="1"/>
  <c r="B32" i="56" a="1"/>
  <c r="B32" i="56" s="1"/>
  <c r="G33" i="56" a="1"/>
  <c r="G33" i="56" s="1"/>
  <c r="C42" i="56" a="1"/>
  <c r="C42" i="56" s="1"/>
  <c r="L43" i="56" a="1"/>
  <c r="L43" i="56" s="1"/>
  <c r="H45" i="56" a="1"/>
  <c r="H45" i="56" s="1"/>
  <c r="I33" i="56" a="1"/>
  <c r="I33" i="56" s="1"/>
  <c r="C32" i="56" a="1"/>
  <c r="C32" i="56" s="1"/>
  <c r="D42" i="56" a="1"/>
  <c r="D42" i="56" s="1"/>
  <c r="M43" i="56" a="1"/>
  <c r="M43" i="56" s="1"/>
  <c r="I45" i="56" a="1"/>
  <c r="I45" i="56" s="1"/>
  <c r="K33" i="56" a="1"/>
  <c r="K33" i="56" s="1"/>
  <c r="D32" i="56" a="1"/>
  <c r="D32" i="56" s="1"/>
  <c r="G35" i="56" a="1"/>
  <c r="G35" i="56" s="1"/>
  <c r="N43" i="56" a="1"/>
  <c r="N43" i="56" s="1"/>
  <c r="J45" i="56" a="1"/>
  <c r="J45" i="56" s="1"/>
  <c r="E32" i="56" a="1"/>
  <c r="E32" i="56" s="1"/>
  <c r="O43" i="56" a="1"/>
  <c r="O43" i="56" s="1"/>
  <c r="K45" i="56" a="1"/>
  <c r="K45" i="56" s="1"/>
  <c r="F32" i="56" a="1"/>
  <c r="F32" i="56" s="1"/>
  <c r="G42" i="56" a="1"/>
  <c r="G42" i="56" s="1"/>
  <c r="C44" i="56" a="1"/>
  <c r="C44" i="56" s="1"/>
  <c r="L45" i="56" a="1"/>
  <c r="L45" i="56" s="1"/>
  <c r="I34" i="56" a="1"/>
  <c r="I34" i="56" s="1"/>
  <c r="B33" i="56" a="1"/>
  <c r="B33" i="56" s="1"/>
  <c r="D44" i="56" a="1"/>
  <c r="D44" i="56" s="1"/>
  <c r="J34" i="56" a="1"/>
  <c r="J34" i="56" s="1"/>
  <c r="C41" i="56" a="1"/>
  <c r="C41" i="56" s="1"/>
  <c r="J42" i="56" a="1"/>
  <c r="J42" i="56" s="1"/>
  <c r="J33" i="56" a="1"/>
  <c r="J33" i="56" s="1"/>
  <c r="J35" i="56" a="1"/>
  <c r="J35" i="56" s="1"/>
  <c r="E42" i="56" a="1"/>
  <c r="E42" i="56" s="1"/>
  <c r="L33" i="56" a="1"/>
  <c r="L33" i="56" s="1"/>
  <c r="F42" i="56" a="1"/>
  <c r="F42" i="56" s="1"/>
  <c r="H34" i="56" a="1"/>
  <c r="H34" i="56" s="1"/>
  <c r="E33" i="56" a="1"/>
  <c r="E33" i="56" s="1"/>
  <c r="K35" i="56" a="1"/>
  <c r="K35" i="56" s="1"/>
  <c r="H44" i="56" a="1"/>
  <c r="H44" i="56" s="1"/>
  <c r="E41" i="56" a="1"/>
  <c r="E41" i="56" s="1"/>
  <c r="I31" i="56" a="1"/>
  <c r="I31" i="56" s="1"/>
  <c r="E34" i="56" a="1"/>
  <c r="E34" i="56" s="1"/>
  <c r="K41" i="55" a="1"/>
  <c r="K41" i="55" s="1"/>
  <c r="F43" i="55" a="1"/>
  <c r="F43" i="55" s="1"/>
  <c r="O44" i="55" a="1"/>
  <c r="O44" i="55" s="1"/>
  <c r="D45" i="55" a="1"/>
  <c r="D45" i="55" s="1"/>
  <c r="I43" i="55" a="1"/>
  <c r="I43" i="55" s="1"/>
  <c r="N41" i="55" a="1"/>
  <c r="N41" i="55" s="1"/>
  <c r="M42" i="55" a="1"/>
  <c r="M42" i="55" s="1"/>
  <c r="G41" i="55" a="1"/>
  <c r="G41" i="55" s="1"/>
  <c r="L41" i="55" a="1"/>
  <c r="L41" i="55" s="1"/>
  <c r="G43" i="55" a="1"/>
  <c r="G43" i="55" s="1"/>
  <c r="C45" i="55" a="1"/>
  <c r="C45" i="55" s="1"/>
  <c r="H43" i="55" a="1"/>
  <c r="H43" i="55" s="1"/>
  <c r="M41" i="55" a="1"/>
  <c r="M41" i="55" s="1"/>
  <c r="J43" i="55" a="1"/>
  <c r="J43" i="55" s="1"/>
  <c r="E45" i="55" a="1"/>
  <c r="E45" i="55" s="1"/>
  <c r="F45" i="55" a="1"/>
  <c r="F45" i="55" s="1"/>
  <c r="H44" i="55" a="1"/>
  <c r="H44" i="55" s="1"/>
  <c r="H41" i="55" a="1"/>
  <c r="H41" i="55" s="1"/>
  <c r="O41" i="55" a="1"/>
  <c r="O41" i="55" s="1"/>
  <c r="K43" i="55" a="1"/>
  <c r="K43" i="55" s="1"/>
  <c r="G45" i="55" a="1"/>
  <c r="G45" i="55" s="1"/>
  <c r="D42" i="55" a="1"/>
  <c r="D42" i="55" s="1"/>
  <c r="I45" i="55" a="1"/>
  <c r="I45" i="55" s="1"/>
  <c r="E42" i="55" a="1"/>
  <c r="E42" i="55" s="1"/>
  <c r="J45" i="55" a="1"/>
  <c r="J45" i="55" s="1"/>
  <c r="F42" i="55" a="1"/>
  <c r="F42" i="55" s="1"/>
  <c r="K45" i="55" a="1"/>
  <c r="K45" i="55" s="1"/>
  <c r="O45" i="55" a="1"/>
  <c r="O45" i="55" s="1"/>
  <c r="G44" i="55" a="1"/>
  <c r="G44" i="55" s="1"/>
  <c r="I44" i="55" a="1"/>
  <c r="I44" i="55" s="1"/>
  <c r="L44" i="55" a="1"/>
  <c r="L44" i="55" s="1"/>
  <c r="I41" i="55" a="1"/>
  <c r="I41" i="55" s="1"/>
  <c r="C42" i="55" a="1"/>
  <c r="C42" i="55" s="1"/>
  <c r="L43" i="55" a="1"/>
  <c r="L43" i="55" s="1"/>
  <c r="H45" i="55" a="1"/>
  <c r="H45" i="55" s="1"/>
  <c r="O43" i="55" a="1"/>
  <c r="O43" i="55" s="1"/>
  <c r="M44" i="55" a="1"/>
  <c r="M44" i="55" s="1"/>
  <c r="M43" i="55" a="1"/>
  <c r="M43" i="55" s="1"/>
  <c r="N42" i="55" a="1"/>
  <c r="N42" i="55" s="1"/>
  <c r="D43" i="55" a="1"/>
  <c r="D43" i="55" s="1"/>
  <c r="N43" i="55" a="1"/>
  <c r="N43" i="55" s="1"/>
  <c r="G42" i="55" a="1"/>
  <c r="G42" i="55" s="1"/>
  <c r="C44" i="55" a="1"/>
  <c r="C44" i="55" s="1"/>
  <c r="L45" i="55" a="1"/>
  <c r="L45" i="55" s="1"/>
  <c r="C41" i="55" a="1"/>
  <c r="C41" i="55" s="1"/>
  <c r="D44" i="55" a="1"/>
  <c r="D44" i="55" s="1"/>
  <c r="M45" i="55" a="1"/>
  <c r="M45" i="55" s="1"/>
  <c r="I42" i="55" a="1"/>
  <c r="I42" i="55" s="1"/>
  <c r="N45" i="55" a="1"/>
  <c r="N45" i="55" s="1"/>
  <c r="E41" i="55" a="1"/>
  <c r="E41" i="55" s="1"/>
  <c r="J42" i="55" a="1"/>
  <c r="J42" i="55" s="1"/>
  <c r="F44" i="55" a="1"/>
  <c r="F44" i="55" s="1"/>
  <c r="F41" i="55" a="1"/>
  <c r="F41" i="55" s="1"/>
  <c r="H42" i="55" a="1"/>
  <c r="H42" i="55" s="1"/>
  <c r="D41" i="55" a="1"/>
  <c r="D41" i="55" s="1"/>
  <c r="E44" i="55" a="1"/>
  <c r="E44" i="55" s="1"/>
  <c r="K42" i="55" a="1"/>
  <c r="K42" i="55" s="1"/>
  <c r="L42" i="55" a="1"/>
  <c r="L42" i="55" s="1"/>
  <c r="J44" i="55" a="1"/>
  <c r="J44" i="55" s="1"/>
  <c r="C43" i="55" a="1"/>
  <c r="C43" i="55" s="1"/>
  <c r="O42" i="55" a="1"/>
  <c r="O42" i="55" s="1"/>
  <c r="K44" i="55" a="1"/>
  <c r="K44" i="55" s="1"/>
  <c r="J41" i="55" a="1"/>
  <c r="J41" i="55" s="1"/>
  <c r="E43" i="55" a="1"/>
  <c r="E43" i="55" s="1"/>
  <c r="N44" i="55" a="1"/>
  <c r="N44" i="55" s="1"/>
  <c r="H24" i="59" a="1"/>
  <c r="H24" i="59" s="1"/>
  <c r="H23" i="59" a="1"/>
  <c r="H23" i="59" s="1"/>
  <c r="J26" i="57" a="1"/>
  <c r="J26" i="57" s="1"/>
  <c r="K26" i="57" a="1"/>
  <c r="K26" i="57" s="1"/>
  <c r="L26" i="57" a="1"/>
  <c r="L26" i="57" s="1"/>
  <c r="M26" i="57" a="1"/>
  <c r="M26" i="57" s="1"/>
  <c r="N26" i="57" a="1"/>
  <c r="N26" i="57" s="1"/>
  <c r="O26" i="57" a="1"/>
  <c r="O26" i="57" s="1"/>
  <c r="C21" i="57" a="1"/>
  <c r="C21" i="57" s="1"/>
  <c r="D21" i="57" a="1"/>
  <c r="D21" i="57" s="1"/>
  <c r="D26" i="57" a="1"/>
  <c r="D26" i="57" s="1"/>
  <c r="E26" i="57" a="1"/>
  <c r="E26" i="57" s="1"/>
  <c r="E21" i="57" a="1"/>
  <c r="E21" i="57" s="1"/>
  <c r="B21" i="57" a="1"/>
  <c r="B21" i="57" s="1"/>
  <c r="F26" i="57" a="1"/>
  <c r="F26" i="57" s="1"/>
  <c r="F21" i="57" a="1"/>
  <c r="F21" i="57" s="1"/>
  <c r="G21" i="57" a="1"/>
  <c r="G21" i="57" s="1"/>
  <c r="H21" i="57" a="1"/>
  <c r="H21" i="57" s="1"/>
  <c r="I21" i="57" a="1"/>
  <c r="I21" i="57" s="1"/>
  <c r="J21" i="57" a="1"/>
  <c r="J21" i="57" s="1"/>
  <c r="K21" i="57" a="1"/>
  <c r="K21" i="57" s="1"/>
  <c r="L21" i="57" a="1"/>
  <c r="L21" i="57" s="1"/>
  <c r="H26" i="57" a="1"/>
  <c r="H26" i="57" s="1"/>
  <c r="C26" i="57" a="1"/>
  <c r="C26" i="57" s="1"/>
  <c r="I26" i="57" a="1"/>
  <c r="I26" i="57" s="1"/>
  <c r="G26" i="57" a="1"/>
  <c r="G26" i="57" s="1"/>
  <c r="D60" i="53" a="1"/>
  <c r="D60" i="53" s="1"/>
  <c r="H36" i="53" a="1"/>
  <c r="H36" i="53" s="1"/>
  <c r="I47" i="53" a="1"/>
  <c r="I47" i="53" s="1"/>
  <c r="C47" i="53" a="1"/>
  <c r="C47" i="53" s="1"/>
  <c r="E50" i="53" a="1"/>
  <c r="E50" i="53" s="1"/>
  <c r="L35" i="53" a="1"/>
  <c r="L35" i="53" s="1"/>
  <c r="L40" i="53" a="1"/>
  <c r="L40" i="53" s="1"/>
  <c r="D40" i="53" a="1"/>
  <c r="D40" i="53" s="1"/>
  <c r="K47" i="53" a="1"/>
  <c r="K47" i="53" s="1"/>
  <c r="G50" i="53" a="1"/>
  <c r="G50" i="53" s="1"/>
  <c r="C51" i="53" a="1"/>
  <c r="C51" i="53" s="1"/>
  <c r="H40" i="53" a="1"/>
  <c r="H40" i="53" s="1"/>
  <c r="K36" i="53" a="1"/>
  <c r="K36" i="53" s="1"/>
  <c r="B35" i="53" a="1"/>
  <c r="B35" i="53" s="1"/>
  <c r="F37" i="53" a="1"/>
  <c r="F37" i="53" s="1"/>
  <c r="K51" i="53" a="1"/>
  <c r="K51" i="53" s="1"/>
  <c r="F53" i="53" a="1"/>
  <c r="F53" i="53" s="1"/>
  <c r="G53" i="53" a="1"/>
  <c r="G53" i="53" s="1"/>
  <c r="M53" i="53" a="1"/>
  <c r="M53" i="53" s="1"/>
  <c r="H37" i="53" a="1"/>
  <c r="H37" i="53" s="1"/>
  <c r="J47" i="53" a="1"/>
  <c r="J47" i="53" s="1"/>
  <c r="D47" i="53" a="1"/>
  <c r="D47" i="53" s="1"/>
  <c r="F50" i="53" a="1"/>
  <c r="F50" i="53" s="1"/>
  <c r="I36" i="53" a="1"/>
  <c r="I36" i="53" s="1"/>
  <c r="I41" i="53" a="1"/>
  <c r="I41" i="53" s="1"/>
  <c r="E40" i="53" a="1"/>
  <c r="E40" i="53" s="1"/>
  <c r="H38" i="53" a="1"/>
  <c r="H38" i="53" s="1"/>
  <c r="E47" i="53" a="1"/>
  <c r="E47" i="53" s="1"/>
  <c r="J41" i="53" a="1"/>
  <c r="J41" i="53" s="1"/>
  <c r="H39" i="53" a="1"/>
  <c r="H39" i="53" s="1"/>
  <c r="I48" i="53" a="1"/>
  <c r="I48" i="53" s="1"/>
  <c r="K41" i="53" a="1"/>
  <c r="K41" i="53" s="1"/>
  <c r="J48" i="53" a="1"/>
  <c r="J48" i="53" s="1"/>
  <c r="D51" i="53" a="1"/>
  <c r="D51" i="53" s="1"/>
  <c r="L41" i="53" a="1"/>
  <c r="L41" i="53" s="1"/>
  <c r="J51" i="53" a="1"/>
  <c r="J51" i="53" s="1"/>
  <c r="B36" i="53" a="1"/>
  <c r="B36" i="53" s="1"/>
  <c r="I52" i="53" a="1"/>
  <c r="I52" i="53" s="1"/>
  <c r="N51" i="53" a="1"/>
  <c r="N51" i="53" s="1"/>
  <c r="K52" i="53" a="1"/>
  <c r="K52" i="53" s="1"/>
  <c r="J35" i="53" a="1"/>
  <c r="J35" i="53" s="1"/>
  <c r="F40" i="53" a="1"/>
  <c r="F40" i="53" s="1"/>
  <c r="J36" i="53" a="1"/>
  <c r="J36" i="53" s="1"/>
  <c r="D41" i="53" a="1"/>
  <c r="D41" i="53" s="1"/>
  <c r="F47" i="53" a="1"/>
  <c r="F47" i="53" s="1"/>
  <c r="E41" i="53" a="1"/>
  <c r="E41" i="53" s="1"/>
  <c r="C49" i="53" a="1"/>
  <c r="C49" i="53" s="1"/>
  <c r="D49" i="53" a="1"/>
  <c r="D49" i="53" s="1"/>
  <c r="E49" i="53" a="1"/>
  <c r="E49" i="53" s="1"/>
  <c r="F38" i="53" a="1"/>
  <c r="F38" i="53" s="1"/>
  <c r="J53" i="53" a="1"/>
  <c r="J53" i="53" s="1"/>
  <c r="H41" i="53" a="1"/>
  <c r="H41" i="53" s="1"/>
  <c r="K48" i="53" a="1"/>
  <c r="K48" i="53" s="1"/>
  <c r="G47" i="53" a="1"/>
  <c r="G47" i="53" s="1"/>
  <c r="E51" i="53" a="1"/>
  <c r="E51" i="53" s="1"/>
  <c r="L36" i="53" a="1"/>
  <c r="L36" i="53" s="1"/>
  <c r="D35" i="53" a="1"/>
  <c r="D35" i="53" s="1"/>
  <c r="F41" i="53" a="1"/>
  <c r="F41" i="53" s="1"/>
  <c r="I49" i="53" a="1"/>
  <c r="I49" i="53" s="1"/>
  <c r="G51" i="53" a="1"/>
  <c r="G51" i="53" s="1"/>
  <c r="J49" i="53" a="1"/>
  <c r="J49" i="53" s="1"/>
  <c r="C52" i="53" a="1"/>
  <c r="C52" i="53" s="1"/>
  <c r="D36" i="53" a="1"/>
  <c r="D36" i="53" s="1"/>
  <c r="K49" i="53" a="1"/>
  <c r="K49" i="53" s="1"/>
  <c r="D52" i="53" a="1"/>
  <c r="D52" i="53" s="1"/>
  <c r="G48" i="53" a="1"/>
  <c r="G48" i="53" s="1"/>
  <c r="E37" i="53" a="1"/>
  <c r="E37" i="53" s="1"/>
  <c r="D53" i="53" a="1"/>
  <c r="D53" i="53" s="1"/>
  <c r="I39" i="53" a="1"/>
  <c r="I39" i="53" s="1"/>
  <c r="J39" i="53" a="1"/>
  <c r="J39" i="53" s="1"/>
  <c r="B38" i="53" a="1"/>
  <c r="B38" i="53" s="1"/>
  <c r="E38" i="53" a="1"/>
  <c r="E38" i="53" s="1"/>
  <c r="F49" i="53" a="1"/>
  <c r="F49" i="53" s="1"/>
  <c r="I40" i="53" a="1"/>
  <c r="I40" i="53" s="1"/>
  <c r="C50" i="53" a="1"/>
  <c r="C50" i="53" s="1"/>
  <c r="M47" i="53" a="1"/>
  <c r="M47" i="53" s="1"/>
  <c r="F51" i="53" a="1"/>
  <c r="F51" i="53" s="1"/>
  <c r="I37" i="53" a="1"/>
  <c r="I37" i="53" s="1"/>
  <c r="E35" i="53" a="1"/>
  <c r="E35" i="53" s="1"/>
  <c r="C48" i="53" a="1"/>
  <c r="C48" i="53" s="1"/>
  <c r="F35" i="53" a="1"/>
  <c r="F35" i="53" s="1"/>
  <c r="D48" i="53" a="1"/>
  <c r="D48" i="53" s="1"/>
  <c r="E48" i="53" a="1"/>
  <c r="E48" i="53" s="1"/>
  <c r="K37" i="53" a="1"/>
  <c r="K37" i="53" s="1"/>
  <c r="C53" i="53" a="1"/>
  <c r="C53" i="53" s="1"/>
  <c r="D38" i="53" a="1"/>
  <c r="D38" i="53" s="1"/>
  <c r="M51" i="53" a="1"/>
  <c r="M51" i="53" s="1"/>
  <c r="K39" i="53" a="1"/>
  <c r="K39" i="53" s="1"/>
  <c r="M52" i="53" a="1"/>
  <c r="M52" i="53" s="1"/>
  <c r="N52" i="53" a="1"/>
  <c r="N52" i="53" s="1"/>
  <c r="N47" i="53" a="1"/>
  <c r="N47" i="53" s="1"/>
  <c r="J37" i="53" a="1"/>
  <c r="J37" i="53" s="1"/>
  <c r="M48" i="53" a="1"/>
  <c r="M48" i="53" s="1"/>
  <c r="I51" i="53" a="1"/>
  <c r="I51" i="53" s="1"/>
  <c r="L39" i="53" a="1"/>
  <c r="L39" i="53" s="1"/>
  <c r="N48" i="53" a="1"/>
  <c r="N48" i="53" s="1"/>
  <c r="I50" i="53" a="1"/>
  <c r="I50" i="53" s="1"/>
  <c r="E52" i="53" a="1"/>
  <c r="E52" i="53" s="1"/>
  <c r="L37" i="53" a="1"/>
  <c r="L37" i="53" s="1"/>
  <c r="E36" i="53" a="1"/>
  <c r="E36" i="53" s="1"/>
  <c r="J50" i="53" a="1"/>
  <c r="J50" i="53" s="1"/>
  <c r="F52" i="53" a="1"/>
  <c r="F52" i="53" s="1"/>
  <c r="I38" i="53" a="1"/>
  <c r="I38" i="53" s="1"/>
  <c r="N49" i="53" a="1"/>
  <c r="N49" i="53" s="1"/>
  <c r="G52" i="53" a="1"/>
  <c r="G52" i="53" s="1"/>
  <c r="D37" i="53" a="1"/>
  <c r="D37" i="53" s="1"/>
  <c r="M50" i="53" a="1"/>
  <c r="M50" i="53" s="1"/>
  <c r="K38" i="53" a="1"/>
  <c r="K38" i="53" s="1"/>
  <c r="N50" i="53" a="1"/>
  <c r="N50" i="53" s="1"/>
  <c r="L38" i="53" a="1"/>
  <c r="L38" i="53" s="1"/>
  <c r="E53" i="53" a="1"/>
  <c r="E53" i="53" s="1"/>
  <c r="B37" i="53" a="1"/>
  <c r="B37" i="53" s="1"/>
  <c r="J52" i="53" a="1"/>
  <c r="J52" i="53" s="1"/>
  <c r="B39" i="53" a="1"/>
  <c r="B39" i="53" s="1"/>
  <c r="I35" i="53" a="1"/>
  <c r="I35" i="53" s="1"/>
  <c r="B40" i="53" a="1"/>
  <c r="B40" i="53" s="1"/>
  <c r="D39" i="53" a="1"/>
  <c r="D39" i="53" s="1"/>
  <c r="B41" i="53" a="1"/>
  <c r="B41" i="53" s="1"/>
  <c r="M49" i="53" a="1"/>
  <c r="M49" i="53" s="1"/>
  <c r="F48" i="53" a="1"/>
  <c r="F48" i="53" s="1"/>
  <c r="F36" i="53" a="1"/>
  <c r="F36" i="53" s="1"/>
  <c r="K50" i="53" a="1"/>
  <c r="K50" i="53" s="1"/>
  <c r="J38" i="53" a="1"/>
  <c r="J38" i="53" s="1"/>
  <c r="G49" i="53" a="1"/>
  <c r="G49" i="53" s="1"/>
  <c r="I53" i="53" a="1"/>
  <c r="I53" i="53" s="1"/>
  <c r="J40" i="53" a="1"/>
  <c r="J40" i="53" s="1"/>
  <c r="D50" i="53" a="1"/>
  <c r="D50" i="53" s="1"/>
  <c r="K40" i="53" a="1"/>
  <c r="K40" i="53" s="1"/>
  <c r="N53" i="53" a="1"/>
  <c r="N53" i="53" s="1"/>
  <c r="K35" i="53" a="1"/>
  <c r="K35" i="53" s="1"/>
  <c r="K53" i="53" a="1"/>
  <c r="K53" i="53" s="1"/>
  <c r="H35" i="53" a="1"/>
  <c r="H35" i="53" s="1"/>
  <c r="E39" i="53" a="1"/>
  <c r="E39" i="53" s="1"/>
  <c r="F39" i="53" a="1"/>
  <c r="F39" i="53" s="1"/>
  <c r="E12" i="60" a="1"/>
  <c r="E12" i="60" s="1"/>
  <c r="B12" i="56" a="1"/>
  <c r="B12" i="56" s="1"/>
  <c r="B11" i="56" a="1"/>
  <c r="B11" i="56" s="1"/>
  <c r="O14" i="59" a="1"/>
  <c r="O14" i="59" s="1"/>
  <c r="O41" i="59" a="1"/>
  <c r="O41" i="59" s="1"/>
  <c r="K43" i="59" a="1"/>
  <c r="K43" i="59" s="1"/>
  <c r="F32" i="59" a="1"/>
  <c r="F32" i="59" s="1"/>
  <c r="H34" i="59" a="1"/>
  <c r="H34" i="59" s="1"/>
  <c r="L40" i="59" a="1"/>
  <c r="L40" i="59" s="1"/>
  <c r="C42" i="59" a="1"/>
  <c r="C42" i="59" s="1"/>
  <c r="L43" i="59" a="1"/>
  <c r="L43" i="59" s="1"/>
  <c r="G32" i="59" a="1"/>
  <c r="G32" i="59" s="1"/>
  <c r="I34" i="59" a="1"/>
  <c r="I34" i="59" s="1"/>
  <c r="D42" i="59" a="1"/>
  <c r="D42" i="59" s="1"/>
  <c r="M43" i="59" a="1"/>
  <c r="M43" i="59" s="1"/>
  <c r="H32" i="59" a="1"/>
  <c r="H32" i="59" s="1"/>
  <c r="J34" i="59" a="1"/>
  <c r="J34" i="59" s="1"/>
  <c r="L34" i="59" a="1"/>
  <c r="L34" i="59" s="1"/>
  <c r="G42" i="59" a="1"/>
  <c r="G42" i="59" s="1"/>
  <c r="B32" i="59" a="1"/>
  <c r="B32" i="59" s="1"/>
  <c r="D34" i="59" a="1"/>
  <c r="D34" i="59" s="1"/>
  <c r="M40" i="59" a="1"/>
  <c r="M40" i="59" s="1"/>
  <c r="E42" i="59" a="1"/>
  <c r="E42" i="59" s="1"/>
  <c r="N43" i="59" a="1"/>
  <c r="N43" i="59" s="1"/>
  <c r="I32" i="59" a="1"/>
  <c r="I32" i="59" s="1"/>
  <c r="K34" i="59" a="1"/>
  <c r="K34" i="59" s="1"/>
  <c r="F42" i="59" a="1"/>
  <c r="F42" i="59" s="1"/>
  <c r="O43" i="59" a="1"/>
  <c r="O43" i="59" s="1"/>
  <c r="J32" i="59" a="1"/>
  <c r="J32" i="59" s="1"/>
  <c r="N40" i="59" a="1"/>
  <c r="N40" i="59" s="1"/>
  <c r="C31" i="59" a="1"/>
  <c r="C31" i="59" s="1"/>
  <c r="F43" i="59" a="1"/>
  <c r="F43" i="59" s="1"/>
  <c r="K32" i="59" a="1"/>
  <c r="K32" i="59" s="1"/>
  <c r="C34" i="59" a="1"/>
  <c r="C34" i="59" s="1"/>
  <c r="O40" i="59" a="1"/>
  <c r="O40" i="59" s="1"/>
  <c r="H42" i="59" a="1"/>
  <c r="H42" i="59" s="1"/>
  <c r="D31" i="59" a="1"/>
  <c r="D31" i="59" s="1"/>
  <c r="L32" i="59" a="1"/>
  <c r="L32" i="59" s="1"/>
  <c r="B33" i="59" a="1"/>
  <c r="B33" i="59" s="1"/>
  <c r="C41" i="59" a="1"/>
  <c r="C41" i="59" s="1"/>
  <c r="I42" i="59" a="1"/>
  <c r="I42" i="59" s="1"/>
  <c r="E31" i="59" a="1"/>
  <c r="E31" i="59" s="1"/>
  <c r="C33" i="59" a="1"/>
  <c r="C33" i="59" s="1"/>
  <c r="B34" i="59" a="1"/>
  <c r="B34" i="59" s="1"/>
  <c r="H40" i="59" a="1"/>
  <c r="H40" i="59" s="1"/>
  <c r="D41" i="59" a="1"/>
  <c r="D41" i="59" s="1"/>
  <c r="J42" i="59" a="1"/>
  <c r="J42" i="59" s="1"/>
  <c r="F31" i="59" a="1"/>
  <c r="F31" i="59" s="1"/>
  <c r="D33" i="59" a="1"/>
  <c r="D33" i="59" s="1"/>
  <c r="B31" i="59" a="1"/>
  <c r="B31" i="59" s="1"/>
  <c r="E43" i="59" a="1"/>
  <c r="E43" i="59" s="1"/>
  <c r="K41" i="59" a="1"/>
  <c r="K41" i="59" s="1"/>
  <c r="K42" i="59" a="1"/>
  <c r="K42" i="59" s="1"/>
  <c r="G31" i="59" a="1"/>
  <c r="G31" i="59" s="1"/>
  <c r="E33" i="59" a="1"/>
  <c r="E33" i="59" s="1"/>
  <c r="C40" i="59" a="1"/>
  <c r="C40" i="59" s="1"/>
  <c r="E41" i="59" a="1"/>
  <c r="E41" i="59" s="1"/>
  <c r="L42" i="59" a="1"/>
  <c r="L42" i="59" s="1"/>
  <c r="F33" i="59" a="1"/>
  <c r="F33" i="59" s="1"/>
  <c r="D40" i="59" a="1"/>
  <c r="D40" i="59" s="1"/>
  <c r="F41" i="59" a="1"/>
  <c r="F41" i="59" s="1"/>
  <c r="M42" i="59" a="1"/>
  <c r="M42" i="59" s="1"/>
  <c r="H31" i="59" a="1"/>
  <c r="H31" i="59" s="1"/>
  <c r="G33" i="59" a="1"/>
  <c r="G33" i="59" s="1"/>
  <c r="E40" i="59" a="1"/>
  <c r="E40" i="59" s="1"/>
  <c r="N42" i="59" a="1"/>
  <c r="N42" i="59" s="1"/>
  <c r="H33" i="59" a="1"/>
  <c r="H33" i="59" s="1"/>
  <c r="I33" i="59" a="1"/>
  <c r="I33" i="59" s="1"/>
  <c r="F40" i="59" a="1"/>
  <c r="F40" i="59" s="1"/>
  <c r="H41" i="59" a="1"/>
  <c r="H41" i="59" s="1"/>
  <c r="J31" i="59" a="1"/>
  <c r="J31" i="59" s="1"/>
  <c r="D43" i="59" a="1"/>
  <c r="D43" i="59" s="1"/>
  <c r="J41" i="59" a="1"/>
  <c r="J41" i="59" s="1"/>
  <c r="L33" i="59" a="1"/>
  <c r="L33" i="59" s="1"/>
  <c r="L41" i="59" a="1"/>
  <c r="L41" i="59" s="1"/>
  <c r="E34" i="59" a="1"/>
  <c r="E34" i="59" s="1"/>
  <c r="G41" i="59" a="1"/>
  <c r="G41" i="59" s="1"/>
  <c r="O42" i="59" a="1"/>
  <c r="O42" i="59" s="1"/>
  <c r="I31" i="59" a="1"/>
  <c r="I31" i="59" s="1"/>
  <c r="C43" i="59" a="1"/>
  <c r="C43" i="59" s="1"/>
  <c r="J33" i="59" a="1"/>
  <c r="J33" i="59" s="1"/>
  <c r="I41" i="59" a="1"/>
  <c r="I41" i="59" s="1"/>
  <c r="K31" i="59" a="1"/>
  <c r="K31" i="59" s="1"/>
  <c r="K33" i="59" a="1"/>
  <c r="K33" i="59" s="1"/>
  <c r="G40" i="59" a="1"/>
  <c r="G40" i="59" s="1"/>
  <c r="L31" i="59" a="1"/>
  <c r="L31" i="59" s="1"/>
  <c r="C32" i="59" a="1"/>
  <c r="C32" i="59" s="1"/>
  <c r="G43" i="59" a="1"/>
  <c r="G43" i="59" s="1"/>
  <c r="I40" i="59" a="1"/>
  <c r="I40" i="59" s="1"/>
  <c r="H43" i="59" a="1"/>
  <c r="H43" i="59" s="1"/>
  <c r="D32" i="59" a="1"/>
  <c r="D32" i="59" s="1"/>
  <c r="J40" i="59" a="1"/>
  <c r="J40" i="59" s="1"/>
  <c r="M41" i="59" a="1"/>
  <c r="M41" i="59" s="1"/>
  <c r="I43" i="59" a="1"/>
  <c r="I43" i="59" s="1"/>
  <c r="F34" i="59" a="1"/>
  <c r="F34" i="59" s="1"/>
  <c r="K40" i="59" a="1"/>
  <c r="K40" i="59" s="1"/>
  <c r="N41" i="59" a="1"/>
  <c r="N41" i="59" s="1"/>
  <c r="J43" i="59" a="1"/>
  <c r="J43" i="59" s="1"/>
  <c r="E32" i="59" a="1"/>
  <c r="E32" i="59" s="1"/>
  <c r="G34" i="59" a="1"/>
  <c r="G34" i="59" s="1"/>
  <c r="C34" i="60" a="1"/>
  <c r="C34" i="60" s="1"/>
  <c r="J35" i="60" a="1"/>
  <c r="J35" i="60" s="1"/>
  <c r="F28" i="60" a="1"/>
  <c r="F28" i="60" s="1"/>
  <c r="D34" i="60" a="1"/>
  <c r="D34" i="60" s="1"/>
  <c r="K35" i="60" a="1"/>
  <c r="K35" i="60" s="1"/>
  <c r="F26" i="60" a="1"/>
  <c r="F26" i="60" s="1"/>
  <c r="G28" i="60" a="1"/>
  <c r="G28" i="60" s="1"/>
  <c r="E34" i="60" a="1"/>
  <c r="E34" i="60" s="1"/>
  <c r="L35" i="60" a="1"/>
  <c r="L35" i="60" s="1"/>
  <c r="G26" i="60" a="1"/>
  <c r="G26" i="60" s="1"/>
  <c r="H28" i="60" a="1"/>
  <c r="H28" i="60" s="1"/>
  <c r="K28" i="60" a="1"/>
  <c r="K28" i="60" s="1"/>
  <c r="F34" i="60" a="1"/>
  <c r="F34" i="60" s="1"/>
  <c r="M35" i="60" a="1"/>
  <c r="M35" i="60" s="1"/>
  <c r="H26" i="60" a="1"/>
  <c r="H26" i="60" s="1"/>
  <c r="I28" i="60" a="1"/>
  <c r="I28" i="60" s="1"/>
  <c r="N35" i="60" a="1"/>
  <c r="N35" i="60" s="1"/>
  <c r="J28" i="60" a="1"/>
  <c r="J28" i="60" s="1"/>
  <c r="O35" i="60" a="1"/>
  <c r="O35" i="60" s="1"/>
  <c r="L27" i="60" a="1"/>
  <c r="L27" i="60" s="1"/>
  <c r="G34" i="60" a="1"/>
  <c r="G34" i="60" s="1"/>
  <c r="H34" i="60" a="1"/>
  <c r="H34" i="60" s="1"/>
  <c r="I26" i="60" a="1"/>
  <c r="I26" i="60" s="1"/>
  <c r="O36" i="60" a="1"/>
  <c r="O36" i="60" s="1"/>
  <c r="C36" i="60" a="1"/>
  <c r="C36" i="60" s="1"/>
  <c r="J26" i="60" a="1"/>
  <c r="J26" i="60" s="1"/>
  <c r="L28" i="60" a="1"/>
  <c r="L28" i="60" s="1"/>
  <c r="I34" i="60" a="1"/>
  <c r="I34" i="60" s="1"/>
  <c r="D36" i="60" a="1"/>
  <c r="D36" i="60" s="1"/>
  <c r="K26" i="60" a="1"/>
  <c r="K26" i="60" s="1"/>
  <c r="B27" i="60" a="1"/>
  <c r="B27" i="60" s="1"/>
  <c r="J34" i="60" a="1"/>
  <c r="J34" i="60" s="1"/>
  <c r="E36" i="60" a="1"/>
  <c r="E36" i="60" s="1"/>
  <c r="L26" i="60" a="1"/>
  <c r="L26" i="60" s="1"/>
  <c r="B28" i="60" a="1"/>
  <c r="B28" i="60" s="1"/>
  <c r="K34" i="60" a="1"/>
  <c r="K34" i="60" s="1"/>
  <c r="F36" i="60" a="1"/>
  <c r="F36" i="60" s="1"/>
  <c r="C27" i="60" a="1"/>
  <c r="C27" i="60" s="1"/>
  <c r="B26" i="60" a="1"/>
  <c r="B26" i="60" s="1"/>
  <c r="L34" i="60" a="1"/>
  <c r="L34" i="60" s="1"/>
  <c r="G36" i="60" a="1"/>
  <c r="G36" i="60" s="1"/>
  <c r="D27" i="60" a="1"/>
  <c r="D27" i="60" s="1"/>
  <c r="M34" i="60" a="1"/>
  <c r="M34" i="60" s="1"/>
  <c r="H36" i="60" a="1"/>
  <c r="H36" i="60" s="1"/>
  <c r="E27" i="60" a="1"/>
  <c r="E27" i="60" s="1"/>
  <c r="I36" i="60" a="1"/>
  <c r="I36" i="60" s="1"/>
  <c r="F27" i="60" a="1"/>
  <c r="F27" i="60" s="1"/>
  <c r="K36" i="60" a="1"/>
  <c r="K36" i="60" s="1"/>
  <c r="I27" i="60" a="1"/>
  <c r="I27" i="60" s="1"/>
  <c r="N34" i="60" a="1"/>
  <c r="N34" i="60" s="1"/>
  <c r="J36" i="60" a="1"/>
  <c r="J36" i="60" s="1"/>
  <c r="G27" i="60" a="1"/>
  <c r="G27" i="60" s="1"/>
  <c r="H27" i="60" a="1"/>
  <c r="H27" i="60" s="1"/>
  <c r="L36" i="60" a="1"/>
  <c r="L36" i="60" s="1"/>
  <c r="O34" i="60" a="1"/>
  <c r="O34" i="60" s="1"/>
  <c r="C35" i="60" a="1"/>
  <c r="C35" i="60" s="1"/>
  <c r="D35" i="60" a="1"/>
  <c r="D35" i="60" s="1"/>
  <c r="M36" i="60" a="1"/>
  <c r="M36" i="60" s="1"/>
  <c r="J27" i="60" a="1"/>
  <c r="J27" i="60" s="1"/>
  <c r="E35" i="60" a="1"/>
  <c r="E35" i="60" s="1"/>
  <c r="N36" i="60" a="1"/>
  <c r="N36" i="60" s="1"/>
  <c r="K27" i="60" a="1"/>
  <c r="K27" i="60" s="1"/>
  <c r="F35" i="60" a="1"/>
  <c r="F35" i="60" s="1"/>
  <c r="G35" i="60" a="1"/>
  <c r="G35" i="60" s="1"/>
  <c r="C26" i="60" a="1"/>
  <c r="C26" i="60" s="1"/>
  <c r="C28" i="60" a="1"/>
  <c r="C28" i="60" s="1"/>
  <c r="H35" i="60" a="1"/>
  <c r="H35" i="60" s="1"/>
  <c r="D26" i="60" a="1"/>
  <c r="D26" i="60" s="1"/>
  <c r="D28" i="60" a="1"/>
  <c r="D28" i="60" s="1"/>
  <c r="I35" i="60" a="1"/>
  <c r="I35" i="60" s="1"/>
  <c r="E26" i="60" a="1"/>
  <c r="E26" i="60" s="1"/>
  <c r="E28" i="60" a="1"/>
  <c r="E28" i="60" s="1"/>
  <c r="C12" i="56" a="1"/>
  <c r="C12" i="56" s="1"/>
  <c r="M13" i="60" a="1"/>
  <c r="M13" i="60" s="1"/>
  <c r="D13" i="56" a="1"/>
  <c r="D13" i="56" s="1"/>
  <c r="H14" i="60" a="1"/>
  <c r="H14" i="60" s="1"/>
  <c r="E37" i="39"/>
  <c r="Q7" i="63"/>
  <c r="E38" i="39"/>
  <c r="Q9" i="63" s="1"/>
  <c r="U25" i="29"/>
  <c r="E15" i="63" s="1"/>
  <c r="W26" i="37"/>
  <c r="M7" i="63"/>
  <c r="M6" i="63"/>
  <c r="U26" i="30"/>
  <c r="I7" i="63"/>
  <c r="I6" i="63"/>
  <c r="T49" i="29"/>
  <c r="T13" i="59" a="1"/>
  <c r="T13" i="59" s="1"/>
  <c r="J15" i="59" a="1"/>
  <c r="J15" i="59" s="1"/>
  <c r="E16" i="59" a="1"/>
  <c r="E16" i="59" s="1"/>
  <c r="T16" i="59" a="1"/>
  <c r="T16" i="59" s="1"/>
  <c r="O22" i="59" a="1"/>
  <c r="O22" i="59" s="1"/>
  <c r="O23" i="59" a="1"/>
  <c r="O23" i="59" s="1"/>
  <c r="O24" i="59" a="1"/>
  <c r="O24" i="59" s="1"/>
  <c r="O25" i="59" a="1"/>
  <c r="O25" i="59" s="1"/>
  <c r="E49" i="59" a="1"/>
  <c r="E49" i="59" s="1"/>
  <c r="H60" i="60" a="1"/>
  <c r="H60" i="60" s="1"/>
  <c r="E46" i="60" a="1"/>
  <c r="E46" i="60" s="1"/>
  <c r="H47" i="60" a="1"/>
  <c r="H47" i="60" s="1"/>
  <c r="M47" i="60" a="1"/>
  <c r="M47" i="60" s="1"/>
  <c r="R47" i="60" a="1"/>
  <c r="R47" i="60" s="1"/>
  <c r="C54" i="60" a="1"/>
  <c r="C54" i="60" s="1"/>
  <c r="J53" i="60" a="1"/>
  <c r="J53" i="60" s="1"/>
  <c r="O53" i="60" a="1"/>
  <c r="O53" i="60" s="1"/>
  <c r="C61" i="60" a="1"/>
  <c r="C61" i="60" s="1"/>
  <c r="H61" i="60" a="1"/>
  <c r="H61" i="60" s="1"/>
  <c r="O70" i="60" a="1"/>
  <c r="O70" i="60" s="1"/>
  <c r="G13" i="59" a="1"/>
  <c r="G13" i="59" s="1"/>
  <c r="G16" i="59" a="1"/>
  <c r="G16" i="59" s="1"/>
  <c r="B24" i="59" a="1"/>
  <c r="B24" i="59" s="1"/>
  <c r="G13" i="60" a="1"/>
  <c r="G13" i="60" s="1"/>
  <c r="L19" i="60" a="1"/>
  <c r="L19" i="60" s="1"/>
  <c r="C47" i="60" a="1"/>
  <c r="C47" i="60" s="1"/>
  <c r="I47" i="60" a="1"/>
  <c r="I47" i="60" s="1"/>
  <c r="N47" i="60" a="1"/>
  <c r="N47" i="60" s="1"/>
  <c r="S47" i="60" a="1"/>
  <c r="S47" i="60" s="1"/>
  <c r="D54" i="60" a="1"/>
  <c r="D54" i="60" s="1"/>
  <c r="G54" i="60" a="1"/>
  <c r="G54" i="60" s="1"/>
  <c r="L54" i="60" a="1"/>
  <c r="L54" i="60" s="1"/>
  <c r="H62" i="60" a="1"/>
  <c r="H62" i="60" s="1"/>
  <c r="B68" i="60" a="1"/>
  <c r="B68" i="60" s="1"/>
  <c r="D15" i="56" a="1"/>
  <c r="D15" i="56" s="1"/>
  <c r="C14" i="59" a="1"/>
  <c r="C14" i="59" s="1"/>
  <c r="M15" i="59" a="1"/>
  <c r="M15" i="59" s="1"/>
  <c r="C22" i="59" a="1"/>
  <c r="C22" i="59" s="1"/>
  <c r="C24" i="59" a="1"/>
  <c r="C24" i="59" s="1"/>
  <c r="M12" i="60" a="1"/>
  <c r="M12" i="60" s="1"/>
  <c r="C14" i="60" a="1"/>
  <c r="C14" i="60" s="1"/>
  <c r="M19" i="60" a="1"/>
  <c r="M19" i="60" s="1"/>
  <c r="M20" i="60" a="1"/>
  <c r="M20" i="60" s="1"/>
  <c r="M21" i="60" a="1"/>
  <c r="M21" i="60" s="1"/>
  <c r="B34" i="60" a="1"/>
  <c r="B34" i="60" s="1"/>
  <c r="D46" i="60" a="1"/>
  <c r="D46" i="60" s="1"/>
  <c r="G47" i="60" a="1"/>
  <c r="G47" i="60" s="1"/>
  <c r="L47" i="60" a="1"/>
  <c r="L47" i="60" s="1"/>
  <c r="Q47" i="60" a="1"/>
  <c r="Q47" i="60" s="1"/>
  <c r="B54" i="60" a="1"/>
  <c r="B54" i="60" s="1"/>
  <c r="I53" i="60" a="1"/>
  <c r="I53" i="60" s="1"/>
  <c r="N53" i="60" a="1"/>
  <c r="N53" i="60" s="1"/>
  <c r="O68" i="60" a="1"/>
  <c r="O68" i="60" s="1"/>
  <c r="B14" i="59" a="1"/>
  <c r="B14" i="59" s="1"/>
  <c r="L15" i="59" a="1"/>
  <c r="L15" i="59" s="1"/>
  <c r="B22" i="59" a="1"/>
  <c r="B22" i="59" s="1"/>
  <c r="B25" i="59" a="1"/>
  <c r="B25" i="59" s="1"/>
  <c r="B40" i="59" a="1"/>
  <c r="B40" i="59" s="1"/>
  <c r="L12" i="60" a="1"/>
  <c r="L12" i="60" s="1"/>
  <c r="B14" i="60" a="1"/>
  <c r="B14" i="60" s="1"/>
  <c r="L20" i="60" a="1"/>
  <c r="L20" i="60" s="1"/>
  <c r="L21" i="60" a="1"/>
  <c r="L21" i="60" s="1"/>
  <c r="D12" i="56" a="1"/>
  <c r="D12" i="56" s="1"/>
  <c r="H13" i="59" a="1"/>
  <c r="H13" i="59" s="1"/>
  <c r="R14" i="59" a="1"/>
  <c r="R14" i="59" s="1"/>
  <c r="H16" i="59" a="1"/>
  <c r="H16" i="59" s="1"/>
  <c r="C23" i="59" a="1"/>
  <c r="C23" i="59" s="1"/>
  <c r="C25" i="59" a="1"/>
  <c r="C25" i="59" s="1"/>
  <c r="C50" i="59" a="1"/>
  <c r="C50" i="59" s="1"/>
  <c r="H13" i="60" a="1"/>
  <c r="H13" i="60" s="1"/>
  <c r="R14" i="60" a="1"/>
  <c r="R14" i="60" s="1"/>
  <c r="D47" i="60" a="1"/>
  <c r="D47" i="60" s="1"/>
  <c r="J47" i="60" a="1"/>
  <c r="J47" i="60" s="1"/>
  <c r="O47" i="60" a="1"/>
  <c r="O47" i="60" s="1"/>
  <c r="T47" i="60" a="1"/>
  <c r="T47" i="60" s="1"/>
  <c r="E54" i="60" a="1"/>
  <c r="E54" i="60" s="1"/>
  <c r="H54" i="60" a="1"/>
  <c r="H54" i="60" s="1"/>
  <c r="M54" i="60" a="1"/>
  <c r="M54" i="60" s="1"/>
  <c r="B69" i="60" a="1"/>
  <c r="B69" i="60" s="1"/>
  <c r="F68" i="60" a="1"/>
  <c r="F68" i="60" s="1"/>
  <c r="O69" i="60" a="1"/>
  <c r="O69" i="60" s="1"/>
  <c r="E12" i="56" a="1"/>
  <c r="E12" i="56" s="1"/>
  <c r="E15" i="56" a="1"/>
  <c r="E15" i="56" s="1"/>
  <c r="I13" i="59" a="1"/>
  <c r="I13" i="59" s="1"/>
  <c r="D14" i="59" a="1"/>
  <c r="D14" i="59" s="1"/>
  <c r="S14" i="59" a="1"/>
  <c r="S14" i="59" s="1"/>
  <c r="N15" i="59" a="1"/>
  <c r="N15" i="59" s="1"/>
  <c r="I16" i="59" a="1"/>
  <c r="I16" i="59" s="1"/>
  <c r="D22" i="59" a="1"/>
  <c r="D22" i="59" s="1"/>
  <c r="D23" i="59" a="1"/>
  <c r="D23" i="59" s="1"/>
  <c r="D24" i="59" a="1"/>
  <c r="D24" i="59" s="1"/>
  <c r="D25" i="59" a="1"/>
  <c r="D25" i="59" s="1"/>
  <c r="D50" i="59" a="1"/>
  <c r="D50" i="59" s="1"/>
  <c r="N12" i="60" a="1"/>
  <c r="N12" i="60" s="1"/>
  <c r="I13" i="60" a="1"/>
  <c r="I13" i="60" s="1"/>
  <c r="D14" i="60" a="1"/>
  <c r="D14" i="60" s="1"/>
  <c r="S14" i="60" a="1"/>
  <c r="S14" i="60" s="1"/>
  <c r="N19" i="60" a="1"/>
  <c r="N19" i="60" s="1"/>
  <c r="N20" i="60" a="1"/>
  <c r="N20" i="60" s="1"/>
  <c r="N21" i="60" a="1"/>
  <c r="N21" i="60" s="1"/>
  <c r="Q14" i="59" a="1"/>
  <c r="Q14" i="59" s="1"/>
  <c r="B23" i="59" a="1"/>
  <c r="B23" i="59" s="1"/>
  <c r="B50" i="59" a="1"/>
  <c r="B50" i="59" s="1"/>
  <c r="Q14" i="60" a="1"/>
  <c r="Q14" i="60" s="1"/>
  <c r="E47" i="60" a="1"/>
  <c r="E47" i="60" s="1"/>
  <c r="G48" i="60" a="1"/>
  <c r="G48" i="60" s="1"/>
  <c r="L48" i="60" a="1"/>
  <c r="L48" i="60" s="1"/>
  <c r="Q48" i="60" a="1"/>
  <c r="Q48" i="60" s="1"/>
  <c r="B55" i="60" a="1"/>
  <c r="B55" i="60" s="1"/>
  <c r="I54" i="60" a="1"/>
  <c r="I54" i="60" s="1"/>
  <c r="N54" i="60" a="1"/>
  <c r="N54" i="60" s="1"/>
  <c r="B70" i="60" a="1"/>
  <c r="B70" i="60" s="1"/>
  <c r="F69" i="60" a="1"/>
  <c r="F69" i="60" s="1"/>
  <c r="B13" i="56" a="1"/>
  <c r="B13" i="56" s="1"/>
  <c r="J13" i="59" a="1"/>
  <c r="J13" i="59" s="1"/>
  <c r="E14" i="59" a="1"/>
  <c r="E14" i="59" s="1"/>
  <c r="T14" i="59" a="1"/>
  <c r="T14" i="59" s="1"/>
  <c r="O15" i="59" a="1"/>
  <c r="O15" i="59" s="1"/>
  <c r="J16" i="59" a="1"/>
  <c r="J16" i="59" s="1"/>
  <c r="E22" i="59" a="1"/>
  <c r="E22" i="59" s="1"/>
  <c r="E23" i="59" a="1"/>
  <c r="E23" i="59" s="1"/>
  <c r="E24" i="59" a="1"/>
  <c r="E24" i="59" s="1"/>
  <c r="E25" i="59" a="1"/>
  <c r="E25" i="59" s="1"/>
  <c r="B43" i="59" a="1"/>
  <c r="B43" i="59" s="1"/>
  <c r="E50" i="59" a="1"/>
  <c r="E50" i="59" s="1"/>
  <c r="O12" i="60" a="1"/>
  <c r="O12" i="60" s="1"/>
  <c r="J13" i="60" a="1"/>
  <c r="J13" i="60" s="1"/>
  <c r="E14" i="60" a="1"/>
  <c r="E14" i="60" s="1"/>
  <c r="T14" i="60" a="1"/>
  <c r="T14" i="60" s="1"/>
  <c r="T15" i="60" s="1"/>
  <c r="O19" i="60" a="1"/>
  <c r="O19" i="60" s="1"/>
  <c r="O20" i="60" a="1"/>
  <c r="O20" i="60" s="1"/>
  <c r="O21" i="60" a="1"/>
  <c r="O21" i="60" s="1"/>
  <c r="C48" i="60" a="1"/>
  <c r="C48" i="60" s="1"/>
  <c r="H48" i="60" a="1"/>
  <c r="H48" i="60" s="1"/>
  <c r="M48" i="60" a="1"/>
  <c r="M48" i="60" s="1"/>
  <c r="R48" i="60" a="1"/>
  <c r="R48" i="60" s="1"/>
  <c r="C55" i="60" a="1"/>
  <c r="C55" i="60" s="1"/>
  <c r="J54" i="60" a="1"/>
  <c r="J54" i="60" s="1"/>
  <c r="O54" i="60" a="1"/>
  <c r="O54" i="60" s="1"/>
  <c r="F70" i="60" a="1"/>
  <c r="F70" i="60" s="1"/>
  <c r="L13" i="59" a="1"/>
  <c r="L13" i="59" s="1"/>
  <c r="G14" i="59" a="1"/>
  <c r="G14" i="59" s="1"/>
  <c r="B15" i="59" a="1"/>
  <c r="B15" i="59" s="1"/>
  <c r="Q15" i="59" a="1"/>
  <c r="Q15" i="59" s="1"/>
  <c r="L16" i="59" a="1"/>
  <c r="L16" i="59" s="1"/>
  <c r="G22" i="59" a="1"/>
  <c r="G22" i="59" s="1"/>
  <c r="G23" i="59" a="1"/>
  <c r="G23" i="59" s="1"/>
  <c r="G24" i="59" a="1"/>
  <c r="G24" i="59" s="1"/>
  <c r="G25" i="59" a="1"/>
  <c r="G25" i="59" s="1"/>
  <c r="B12" i="60" a="1"/>
  <c r="B12" i="60" s="1"/>
  <c r="Q12" i="60" a="1"/>
  <c r="Q12" i="60" s="1"/>
  <c r="L13" i="60" a="1"/>
  <c r="L13" i="60" s="1"/>
  <c r="G14" i="60" a="1"/>
  <c r="G14" i="60" s="1"/>
  <c r="B19" i="60" a="1"/>
  <c r="B19" i="60" s="1"/>
  <c r="B20" i="60" a="1"/>
  <c r="B20" i="60" s="1"/>
  <c r="B21" i="60" a="1"/>
  <c r="B21" i="60" s="1"/>
  <c r="B46" i="60" a="1"/>
  <c r="B46" i="60" s="1"/>
  <c r="E48" i="60" a="1"/>
  <c r="E48" i="60" s="1"/>
  <c r="J48" i="60" a="1"/>
  <c r="J48" i="60" s="1"/>
  <c r="O48" i="60" a="1"/>
  <c r="O48" i="60" s="1"/>
  <c r="T48" i="60" a="1"/>
  <c r="T48" i="60" s="1"/>
  <c r="E55" i="60" a="1"/>
  <c r="E55" i="60" s="1"/>
  <c r="H55" i="60" a="1"/>
  <c r="H55" i="60" s="1"/>
  <c r="M55" i="60" a="1"/>
  <c r="M55" i="60" s="1"/>
  <c r="H69" i="60" a="1"/>
  <c r="H69" i="60" s="1"/>
  <c r="N13" i="59" a="1"/>
  <c r="N13" i="59" s="1"/>
  <c r="I14" i="59" a="1"/>
  <c r="I14" i="59" s="1"/>
  <c r="D15" i="59" a="1"/>
  <c r="D15" i="59" s="1"/>
  <c r="S15" i="59" a="1"/>
  <c r="S15" i="59" s="1"/>
  <c r="N16" i="59" a="1"/>
  <c r="N16" i="59" s="1"/>
  <c r="I22" i="59" a="1"/>
  <c r="I22" i="59" s="1"/>
  <c r="I23" i="59" a="1"/>
  <c r="I23" i="59" s="1"/>
  <c r="I24" i="59" a="1"/>
  <c r="I24" i="59" s="1"/>
  <c r="I25" i="59" a="1"/>
  <c r="I25" i="59" s="1"/>
  <c r="D12" i="60" a="1"/>
  <c r="D12" i="60" s="1"/>
  <c r="S12" i="60" a="1"/>
  <c r="S12" i="60" s="1"/>
  <c r="N13" i="60" a="1"/>
  <c r="N13" i="60" s="1"/>
  <c r="I14" i="60" a="1"/>
  <c r="I14" i="60" s="1"/>
  <c r="D19" i="60" a="1"/>
  <c r="D19" i="60" s="1"/>
  <c r="D20" i="60" a="1"/>
  <c r="D20" i="60" s="1"/>
  <c r="D21" i="60" a="1"/>
  <c r="D21" i="60" s="1"/>
  <c r="B35" i="60" a="1"/>
  <c r="B35" i="60" s="1"/>
  <c r="G46" i="60" a="1"/>
  <c r="G46" i="60" s="1"/>
  <c r="L46" i="60" a="1"/>
  <c r="L46" i="60" s="1"/>
  <c r="Q46" i="60" a="1"/>
  <c r="Q46" i="60" s="1"/>
  <c r="B53" i="60" a="1"/>
  <c r="B53" i="60" s="1"/>
  <c r="I55" i="60" a="1"/>
  <c r="I55" i="60" s="1"/>
  <c r="N55" i="60" a="1"/>
  <c r="N55" i="60" s="1"/>
  <c r="H70" i="60" a="1"/>
  <c r="H70" i="60" s="1"/>
  <c r="O13" i="59" a="1"/>
  <c r="O13" i="59" s="1"/>
  <c r="E15" i="59" a="1"/>
  <c r="E15" i="59" s="1"/>
  <c r="T15" i="59" a="1"/>
  <c r="T15" i="59" s="1"/>
  <c r="J22" i="59" a="1"/>
  <c r="J22" i="59" s="1"/>
  <c r="J14" i="59" a="1"/>
  <c r="J14" i="59" s="1"/>
  <c r="O16" i="59" a="1"/>
  <c r="O16" i="59" s="1"/>
  <c r="O13" i="60" a="1"/>
  <c r="O13" i="60" s="1"/>
  <c r="J14" i="60" a="1"/>
  <c r="J14" i="60" s="1"/>
  <c r="E19" i="60" a="1"/>
  <c r="E19" i="60" s="1"/>
  <c r="E20" i="60" a="1"/>
  <c r="E20" i="60" s="1"/>
  <c r="E21" i="60" a="1"/>
  <c r="E21" i="60" s="1"/>
  <c r="C11" i="56" a="1"/>
  <c r="C11" i="56" s="1"/>
  <c r="B16" i="59" a="1"/>
  <c r="B16" i="59" s="1"/>
  <c r="L23" i="59" a="1"/>
  <c r="L23" i="59" s="1"/>
  <c r="L25" i="59" a="1"/>
  <c r="L25" i="59" s="1"/>
  <c r="G12" i="60" a="1"/>
  <c r="G12" i="60" s="1"/>
  <c r="Q13" i="60" a="1"/>
  <c r="Q13" i="60" s="1"/>
  <c r="G19" i="60" a="1"/>
  <c r="G19" i="60" s="1"/>
  <c r="G21" i="60" a="1"/>
  <c r="G21" i="60" s="1"/>
  <c r="B47" i="60" a="1"/>
  <c r="B47" i="60" s="1"/>
  <c r="I46" i="60" a="1"/>
  <c r="I46" i="60" s="1"/>
  <c r="N46" i="60" a="1"/>
  <c r="N46" i="60" s="1"/>
  <c r="S46" i="60" a="1"/>
  <c r="S46" i="60" s="1"/>
  <c r="D53" i="60" a="1"/>
  <c r="D53" i="60" s="1"/>
  <c r="G53" i="60" a="1"/>
  <c r="G53" i="60" s="1"/>
  <c r="L53" i="60" a="1"/>
  <c r="L53" i="60" s="1"/>
  <c r="C60" i="60" a="1"/>
  <c r="C60" i="60" s="1"/>
  <c r="G61" i="60" a="1"/>
  <c r="G61" i="60" s="1"/>
  <c r="L69" i="60" a="1"/>
  <c r="L69" i="60" s="1"/>
  <c r="D11" i="56" a="1"/>
  <c r="D11" i="56" s="1"/>
  <c r="D14" i="56" a="1"/>
  <c r="D14" i="56" s="1"/>
  <c r="C13" i="59" a="1"/>
  <c r="C13" i="59" s="1"/>
  <c r="R13" i="59" a="1"/>
  <c r="R13" i="59" s="1"/>
  <c r="M14" i="59" a="1"/>
  <c r="M14" i="59" s="1"/>
  <c r="H15" i="59" a="1"/>
  <c r="H15" i="59" s="1"/>
  <c r="C16" i="59" a="1"/>
  <c r="C16" i="59" s="1"/>
  <c r="R16" i="59" a="1"/>
  <c r="R16" i="59" s="1"/>
  <c r="M22" i="59" a="1"/>
  <c r="M22" i="59" s="1"/>
  <c r="M23" i="59" a="1"/>
  <c r="M23" i="59" s="1"/>
  <c r="M24" i="59" a="1"/>
  <c r="M24" i="59" s="1"/>
  <c r="M25" i="59" a="1"/>
  <c r="M25" i="59" s="1"/>
  <c r="C49" i="59" a="1"/>
  <c r="C49" i="59" s="1"/>
  <c r="H12" i="60" a="1"/>
  <c r="H12" i="60" s="1"/>
  <c r="C13" i="60" a="1"/>
  <c r="C13" i="60" s="1"/>
  <c r="R13" i="60" a="1"/>
  <c r="R13" i="60" s="1"/>
  <c r="M14" i="60" a="1"/>
  <c r="M14" i="60" s="1"/>
  <c r="H19" i="60" a="1"/>
  <c r="H19" i="60" s="1"/>
  <c r="H20" i="60" a="1"/>
  <c r="H20" i="60" s="1"/>
  <c r="H21" i="60" a="1"/>
  <c r="H21" i="60" s="1"/>
  <c r="J23" i="59" a="1"/>
  <c r="J23" i="59" s="1"/>
  <c r="J24" i="59" a="1"/>
  <c r="J24" i="59" s="1"/>
  <c r="J25" i="59" a="1"/>
  <c r="J25" i="59" s="1"/>
  <c r="B48" i="60" a="1"/>
  <c r="B48" i="60" s="1"/>
  <c r="H46" i="60" a="1"/>
  <c r="H46" i="60" s="1"/>
  <c r="M46" i="60" a="1"/>
  <c r="M46" i="60" s="1"/>
  <c r="R46" i="60" a="1"/>
  <c r="R46" i="60" s="1"/>
  <c r="C53" i="60" a="1"/>
  <c r="C53" i="60" s="1"/>
  <c r="J55" i="60" a="1"/>
  <c r="J55" i="60" s="1"/>
  <c r="O55" i="60" a="1"/>
  <c r="O55" i="60" s="1"/>
  <c r="G60" i="60" a="1"/>
  <c r="G60" i="60" s="1"/>
  <c r="L68" i="60" a="1"/>
  <c r="L68" i="60" s="1"/>
  <c r="C14" i="56" a="1"/>
  <c r="C14" i="56" s="1"/>
  <c r="B13" i="59" a="1"/>
  <c r="B13" i="59" s="1"/>
  <c r="Q13" i="59" a="1"/>
  <c r="Q13" i="59" s="1"/>
  <c r="L14" i="59" a="1"/>
  <c r="L14" i="59" s="1"/>
  <c r="G15" i="59" a="1"/>
  <c r="G15" i="59" s="1"/>
  <c r="Q16" i="59" a="1"/>
  <c r="Q16" i="59" s="1"/>
  <c r="L22" i="59" a="1"/>
  <c r="L22" i="59" s="1"/>
  <c r="L24" i="59" a="1"/>
  <c r="L24" i="59" s="1"/>
  <c r="B49" i="59" a="1"/>
  <c r="B49" i="59" s="1"/>
  <c r="B13" i="60" a="1"/>
  <c r="B13" i="60" s="1"/>
  <c r="L14" i="60" a="1"/>
  <c r="L14" i="60" s="1"/>
  <c r="G20" i="60" a="1"/>
  <c r="G20" i="60" s="1"/>
  <c r="C46" i="60" a="1"/>
  <c r="C46" i="60" s="1"/>
  <c r="J46" i="60" a="1"/>
  <c r="J46" i="60" s="1"/>
  <c r="O46" i="60" a="1"/>
  <c r="O46" i="60" s="1"/>
  <c r="T46" i="60" a="1"/>
  <c r="T46" i="60" s="1"/>
  <c r="E53" i="60" a="1"/>
  <c r="E53" i="60" s="1"/>
  <c r="H53" i="60" a="1"/>
  <c r="H53" i="60" s="1"/>
  <c r="M53" i="60" a="1"/>
  <c r="M53" i="60" s="1"/>
  <c r="C62" i="60" a="1"/>
  <c r="C62" i="60" s="1"/>
  <c r="G62" i="60" a="1"/>
  <c r="G62" i="60" s="1"/>
  <c r="L70" i="60" a="1"/>
  <c r="L70" i="60" s="1"/>
  <c r="E11" i="56" a="1"/>
  <c r="E11" i="56" s="1"/>
  <c r="E14" i="56" a="1"/>
  <c r="E14" i="56" s="1"/>
  <c r="D13" i="59" a="1"/>
  <c r="D13" i="59" s="1"/>
  <c r="S13" i="59" a="1"/>
  <c r="S13" i="59" s="1"/>
  <c r="N14" i="59" a="1"/>
  <c r="N14" i="59" s="1"/>
  <c r="I15" i="59" a="1"/>
  <c r="I15" i="59" s="1"/>
  <c r="D16" i="59" a="1"/>
  <c r="D16" i="59" s="1"/>
  <c r="S16" i="59" a="1"/>
  <c r="S16" i="59" s="1"/>
  <c r="N22" i="59" a="1"/>
  <c r="N22" i="59" s="1"/>
  <c r="N23" i="59" a="1"/>
  <c r="N23" i="59" s="1"/>
  <c r="N24" i="59" a="1"/>
  <c r="N24" i="59" s="1"/>
  <c r="N25" i="59" a="1"/>
  <c r="N25" i="59" s="1"/>
  <c r="B42" i="59" a="1"/>
  <c r="B42" i="59" s="1"/>
  <c r="D49" i="59" a="1"/>
  <c r="D49" i="59" s="1"/>
  <c r="I12" i="60" a="1"/>
  <c r="I12" i="60" s="1"/>
  <c r="D13" i="60" a="1"/>
  <c r="D13" i="60" s="1"/>
  <c r="S13" i="60" a="1"/>
  <c r="S13" i="60" s="1"/>
  <c r="N14" i="60" a="1"/>
  <c r="N14" i="60" s="1"/>
  <c r="I19" i="60" a="1"/>
  <c r="I19" i="60" s="1"/>
  <c r="I20" i="60" a="1"/>
  <c r="I20" i="60" s="1"/>
  <c r="I21" i="60" a="1"/>
  <c r="I21" i="60" s="1"/>
  <c r="D48" i="60" a="1"/>
  <c r="D48" i="60" s="1"/>
  <c r="I48" i="60" a="1"/>
  <c r="I48" i="60" s="1"/>
  <c r="N48" i="60" a="1"/>
  <c r="N48" i="60" s="1"/>
  <c r="S48" i="60" a="1"/>
  <c r="S48" i="60" s="1"/>
  <c r="D55" i="60" a="1"/>
  <c r="D55" i="60" s="1"/>
  <c r="G55" i="60" a="1"/>
  <c r="G55" i="60" s="1"/>
  <c r="L55" i="60" a="1"/>
  <c r="L55" i="60" s="1"/>
  <c r="E13" i="59" a="1"/>
  <c r="E13" i="59" s="1"/>
  <c r="H26" i="59"/>
  <c r="J22" i="60"/>
  <c r="I36" i="39"/>
  <c r="C22" i="60"/>
  <c r="D14" i="51" a="1"/>
  <c r="D14" i="51" s="1"/>
  <c r="B13" i="51" a="1"/>
  <c r="B13" i="51" s="1"/>
  <c r="B11" i="57" a="1"/>
  <c r="B11" i="57" s="1"/>
  <c r="F14" i="51" a="1"/>
  <c r="F14" i="51" s="1"/>
  <c r="C11" i="53" a="1"/>
  <c r="C11" i="53" s="1"/>
  <c r="E11" i="53" a="1"/>
  <c r="E11" i="53" s="1"/>
  <c r="C12" i="53" a="1"/>
  <c r="C12" i="53" s="1"/>
  <c r="E12" i="53" a="1"/>
  <c r="E12" i="53" s="1"/>
  <c r="C13" i="53" a="1"/>
  <c r="C13" i="53" s="1"/>
  <c r="E13" i="53" a="1"/>
  <c r="E13" i="53" s="1"/>
  <c r="C14" i="53" a="1"/>
  <c r="C14" i="53" s="1"/>
  <c r="E14" i="53" a="1"/>
  <c r="E14" i="53" s="1"/>
  <c r="C15" i="53" a="1"/>
  <c r="C15" i="53" s="1"/>
  <c r="E15" i="53" a="1"/>
  <c r="E15" i="53" s="1"/>
  <c r="C16" i="53" a="1"/>
  <c r="C16" i="53" s="1"/>
  <c r="E16" i="53" a="1"/>
  <c r="E16" i="53" s="1"/>
  <c r="C17" i="53" a="1"/>
  <c r="C17" i="53" s="1"/>
  <c r="E17" i="53" a="1"/>
  <c r="E17" i="53" s="1"/>
  <c r="H11" i="53" a="1"/>
  <c r="H11" i="53" s="1"/>
  <c r="J11" i="53" a="1"/>
  <c r="J11" i="53" s="1"/>
  <c r="H12" i="53" a="1"/>
  <c r="H12" i="53" s="1"/>
  <c r="J12" i="53" a="1"/>
  <c r="J12" i="53" s="1"/>
  <c r="H13" i="53" a="1"/>
  <c r="H13" i="53" s="1"/>
  <c r="J13" i="53" a="1"/>
  <c r="J13" i="53" s="1"/>
  <c r="H14" i="53" a="1"/>
  <c r="H14" i="53" s="1"/>
  <c r="J14" i="53" a="1"/>
  <c r="J14" i="53" s="1"/>
  <c r="H15" i="53" a="1"/>
  <c r="H15" i="53" s="1"/>
  <c r="J15" i="53" a="1"/>
  <c r="J15" i="53" s="1"/>
  <c r="H16" i="53" a="1"/>
  <c r="H16" i="53" s="1"/>
  <c r="J16" i="53" a="1"/>
  <c r="J16" i="53" s="1"/>
  <c r="H17" i="53" a="1"/>
  <c r="H17" i="53" s="1"/>
  <c r="J17" i="53" a="1"/>
  <c r="J17" i="53" s="1"/>
  <c r="M11" i="53" a="1"/>
  <c r="M11" i="53" s="1"/>
  <c r="O11" i="53" a="1"/>
  <c r="O11" i="53" s="1"/>
  <c r="M12" i="53" a="1"/>
  <c r="M12" i="53" s="1"/>
  <c r="O12" i="53" a="1"/>
  <c r="O12" i="53" s="1"/>
  <c r="M13" i="53" a="1"/>
  <c r="M13" i="53" s="1"/>
  <c r="O13" i="53" a="1"/>
  <c r="O13" i="53" s="1"/>
  <c r="M14" i="53" a="1"/>
  <c r="M14" i="53" s="1"/>
  <c r="O14" i="53" a="1"/>
  <c r="O14" i="53" s="1"/>
  <c r="M15" i="53" a="1"/>
  <c r="M15" i="53" s="1"/>
  <c r="O15" i="53" a="1"/>
  <c r="O15" i="53" s="1"/>
  <c r="M16" i="53" a="1"/>
  <c r="M16" i="53" s="1"/>
  <c r="O16" i="53" a="1"/>
  <c r="O16" i="53" s="1"/>
  <c r="M17" i="53" a="1"/>
  <c r="M17" i="53" s="1"/>
  <c r="O17" i="53" a="1"/>
  <c r="O17" i="53" s="1"/>
  <c r="R11" i="53" a="1"/>
  <c r="R11" i="53" s="1"/>
  <c r="T11" i="53" a="1"/>
  <c r="T11" i="53" s="1"/>
  <c r="R12" i="53" a="1"/>
  <c r="R12" i="53" s="1"/>
  <c r="T12" i="53" a="1"/>
  <c r="T12" i="53" s="1"/>
  <c r="R13" i="53" a="1"/>
  <c r="R13" i="53" s="1"/>
  <c r="T13" i="53" a="1"/>
  <c r="T13" i="53" s="1"/>
  <c r="R14" i="53" a="1"/>
  <c r="R14" i="53" s="1"/>
  <c r="T14" i="53" a="1"/>
  <c r="T14" i="53" s="1"/>
  <c r="R15" i="53" a="1"/>
  <c r="R15" i="53" s="1"/>
  <c r="T15" i="53" a="1"/>
  <c r="T15" i="53" s="1"/>
  <c r="R16" i="53" a="1"/>
  <c r="R16" i="53" s="1"/>
  <c r="T16" i="53" a="1"/>
  <c r="T16" i="53" s="1"/>
  <c r="R17" i="53" a="1"/>
  <c r="R17" i="53" s="1"/>
  <c r="T17" i="53" a="1"/>
  <c r="T17" i="53" s="1"/>
  <c r="C23" i="53" a="1"/>
  <c r="C23" i="53" s="1"/>
  <c r="E23" i="53" a="1"/>
  <c r="E23" i="53" s="1"/>
  <c r="C24" i="53" a="1"/>
  <c r="C24" i="53" s="1"/>
  <c r="E24" i="53" a="1"/>
  <c r="E24" i="53" s="1"/>
  <c r="C25" i="53" a="1"/>
  <c r="C25" i="53" s="1"/>
  <c r="E25" i="53" a="1"/>
  <c r="E25" i="53" s="1"/>
  <c r="C26" i="53" a="1"/>
  <c r="C26" i="53" s="1"/>
  <c r="E26" i="53" a="1"/>
  <c r="E26" i="53" s="1"/>
  <c r="C27" i="53" a="1"/>
  <c r="C27" i="53" s="1"/>
  <c r="E27" i="53" a="1"/>
  <c r="E27" i="53" s="1"/>
  <c r="C28" i="53" a="1"/>
  <c r="C28" i="53" s="1"/>
  <c r="E28" i="53" a="1"/>
  <c r="E28" i="53" s="1"/>
  <c r="C29" i="53" a="1"/>
  <c r="C29" i="53" s="1"/>
  <c r="E29" i="53" a="1"/>
  <c r="E29" i="53" s="1"/>
  <c r="H23" i="53" a="1"/>
  <c r="H23" i="53" s="1"/>
  <c r="J23" i="53" a="1"/>
  <c r="J23" i="53" s="1"/>
  <c r="H24" i="53" a="1"/>
  <c r="H24" i="53" s="1"/>
  <c r="J24" i="53" a="1"/>
  <c r="J24" i="53" s="1"/>
  <c r="H25" i="53" a="1"/>
  <c r="H25" i="53" s="1"/>
  <c r="J25" i="53" a="1"/>
  <c r="J25" i="53" s="1"/>
  <c r="H26" i="53" a="1"/>
  <c r="H26" i="53" s="1"/>
  <c r="J26" i="53" a="1"/>
  <c r="J26" i="53" s="1"/>
  <c r="H27" i="53" a="1"/>
  <c r="H27" i="53" s="1"/>
  <c r="J27" i="53" a="1"/>
  <c r="J27" i="53" s="1"/>
  <c r="H28" i="53" a="1"/>
  <c r="H28" i="53" s="1"/>
  <c r="J28" i="53" a="1"/>
  <c r="J28" i="53" s="1"/>
  <c r="H29" i="53" a="1"/>
  <c r="H29" i="53" s="1"/>
  <c r="J29" i="53" a="1"/>
  <c r="J29" i="53" s="1"/>
  <c r="M23" i="53" a="1"/>
  <c r="M23" i="53" s="1"/>
  <c r="O23" i="53" a="1"/>
  <c r="O23" i="53" s="1"/>
  <c r="M24" i="53" a="1"/>
  <c r="M24" i="53" s="1"/>
  <c r="O24" i="53" a="1"/>
  <c r="O24" i="53" s="1"/>
  <c r="M25" i="53" a="1"/>
  <c r="M25" i="53" s="1"/>
  <c r="O25" i="53" a="1"/>
  <c r="O25" i="53" s="1"/>
  <c r="M26" i="53" a="1"/>
  <c r="M26" i="53" s="1"/>
  <c r="O26" i="53" a="1"/>
  <c r="O26" i="53" s="1"/>
  <c r="M27" i="53" a="1"/>
  <c r="M27" i="53" s="1"/>
  <c r="O27" i="53" a="1"/>
  <c r="O27" i="53" s="1"/>
  <c r="M28" i="53" a="1"/>
  <c r="M28" i="53" s="1"/>
  <c r="O28" i="53" a="1"/>
  <c r="O28" i="53" s="1"/>
  <c r="M29" i="53" a="1"/>
  <c r="M29" i="53" s="1"/>
  <c r="O29" i="53" a="1"/>
  <c r="O29" i="53" s="1"/>
  <c r="C59" i="53" a="1"/>
  <c r="C59" i="53" s="1"/>
  <c r="B60" i="53" a="1"/>
  <c r="B60" i="53" s="1"/>
  <c r="B53" i="53" a="1"/>
  <c r="B53" i="53" s="1"/>
  <c r="B51" i="53" a="1"/>
  <c r="B51" i="53" s="1"/>
  <c r="B49" i="53" a="1"/>
  <c r="B49" i="53" s="1"/>
  <c r="B47" i="53" a="1"/>
  <c r="B47" i="53" s="1"/>
  <c r="H52" i="53" a="1"/>
  <c r="H52" i="53" s="1"/>
  <c r="H50" i="53" a="1"/>
  <c r="H50" i="53" s="1"/>
  <c r="H48" i="53" a="1"/>
  <c r="H48" i="53" s="1"/>
  <c r="L53" i="53" a="1"/>
  <c r="L53" i="53" s="1"/>
  <c r="L51" i="53" a="1"/>
  <c r="L51" i="53" s="1"/>
  <c r="L49" i="53" a="1"/>
  <c r="L49" i="53" s="1"/>
  <c r="L47" i="53" a="1"/>
  <c r="L47" i="53" s="1"/>
  <c r="O49" i="53" a="1"/>
  <c r="O49" i="53" s="1"/>
  <c r="O51" i="53" a="1"/>
  <c r="O51" i="53" s="1"/>
  <c r="O53" i="53" a="1"/>
  <c r="O53" i="53" s="1"/>
  <c r="C37" i="53" a="1"/>
  <c r="C37" i="53" s="1"/>
  <c r="C39" i="53" a="1"/>
  <c r="C39" i="53" s="1"/>
  <c r="C41" i="53" a="1"/>
  <c r="C41" i="53" s="1"/>
  <c r="G37" i="53" a="1"/>
  <c r="G37" i="53" s="1"/>
  <c r="G39" i="53" a="1"/>
  <c r="G39" i="53" s="1"/>
  <c r="G41" i="53" a="1"/>
  <c r="G41" i="53" s="1"/>
  <c r="R65" i="53" a="1"/>
  <c r="R65" i="53" s="1"/>
  <c r="P65" i="53" a="1"/>
  <c r="P65" i="53" s="1"/>
  <c r="N65" i="53" a="1"/>
  <c r="N65" i="53" s="1"/>
  <c r="L65" i="53" a="1"/>
  <c r="L65" i="53" s="1"/>
  <c r="J65" i="53" a="1"/>
  <c r="J65" i="53" s="1"/>
  <c r="H65" i="53" a="1"/>
  <c r="H65" i="53" s="1"/>
  <c r="F65" i="53" a="1"/>
  <c r="F65" i="53" s="1"/>
  <c r="R64" i="53" a="1"/>
  <c r="R64" i="53" s="1"/>
  <c r="P64" i="53" a="1"/>
  <c r="P64" i="53" s="1"/>
  <c r="N64" i="53" a="1"/>
  <c r="N64" i="53" s="1"/>
  <c r="L64" i="53" a="1"/>
  <c r="L64" i="53" s="1"/>
  <c r="J64" i="53" a="1"/>
  <c r="J64" i="53" s="1"/>
  <c r="H64" i="53" a="1"/>
  <c r="H64" i="53" s="1"/>
  <c r="F64" i="53" a="1"/>
  <c r="F64" i="53" s="1"/>
  <c r="R63" i="53" a="1"/>
  <c r="R63" i="53" s="1"/>
  <c r="P63" i="53" a="1"/>
  <c r="P63" i="53" s="1"/>
  <c r="N63" i="53" a="1"/>
  <c r="N63" i="53" s="1"/>
  <c r="L63" i="53" a="1"/>
  <c r="L63" i="53" s="1"/>
  <c r="J63" i="53" a="1"/>
  <c r="J63" i="53" s="1"/>
  <c r="H63" i="53" a="1"/>
  <c r="H63" i="53" s="1"/>
  <c r="F63" i="53" a="1"/>
  <c r="F63" i="53" s="1"/>
  <c r="R62" i="53" a="1"/>
  <c r="R62" i="53" s="1"/>
  <c r="P62" i="53" a="1"/>
  <c r="P62" i="53" s="1"/>
  <c r="N62" i="53" a="1"/>
  <c r="N62" i="53" s="1"/>
  <c r="L62" i="53" a="1"/>
  <c r="L62" i="53" s="1"/>
  <c r="J62" i="53" a="1"/>
  <c r="J62" i="53" s="1"/>
  <c r="H62" i="53" a="1"/>
  <c r="H62" i="53" s="1"/>
  <c r="F62" i="53" a="1"/>
  <c r="F62" i="53" s="1"/>
  <c r="R61" i="53" a="1"/>
  <c r="R61" i="53" s="1"/>
  <c r="P61" i="53" a="1"/>
  <c r="P61" i="53" s="1"/>
  <c r="N61" i="53" a="1"/>
  <c r="N61" i="53" s="1"/>
  <c r="L61" i="53" a="1"/>
  <c r="L61" i="53" s="1"/>
  <c r="J61" i="53" a="1"/>
  <c r="J61" i="53" s="1"/>
  <c r="H61" i="53" a="1"/>
  <c r="H61" i="53" s="1"/>
  <c r="F61" i="53" a="1"/>
  <c r="F61" i="53" s="1"/>
  <c r="R60" i="53" a="1"/>
  <c r="R60" i="53" s="1"/>
  <c r="P60" i="53" a="1"/>
  <c r="P60" i="53" s="1"/>
  <c r="N60" i="53" a="1"/>
  <c r="N60" i="53" s="1"/>
  <c r="L60" i="53" a="1"/>
  <c r="L60" i="53" s="1"/>
  <c r="J60" i="53" a="1"/>
  <c r="J60" i="53" s="1"/>
  <c r="H60" i="53" a="1"/>
  <c r="H60" i="53" s="1"/>
  <c r="F60" i="53" a="1"/>
  <c r="F60" i="53" s="1"/>
  <c r="R59" i="53" a="1"/>
  <c r="R59" i="53" s="1"/>
  <c r="P59" i="53" a="1"/>
  <c r="P59" i="53" s="1"/>
  <c r="N59" i="53" a="1"/>
  <c r="N59" i="53" s="1"/>
  <c r="L59" i="53" a="1"/>
  <c r="L59" i="53" s="1"/>
  <c r="J59" i="53" a="1"/>
  <c r="J59" i="53" s="1"/>
  <c r="H59" i="53" a="1"/>
  <c r="H59" i="53" s="1"/>
  <c r="F59" i="53" a="1"/>
  <c r="F59" i="53" s="1"/>
  <c r="D65" i="53" a="1"/>
  <c r="D65" i="53" s="1"/>
  <c r="B65" i="53" a="1"/>
  <c r="B65" i="53" s="1"/>
  <c r="C64" i="53" a="1"/>
  <c r="C64" i="53" s="1"/>
  <c r="D63" i="53" a="1"/>
  <c r="D63" i="53" s="1"/>
  <c r="B63" i="53" a="1"/>
  <c r="B63" i="53" s="1"/>
  <c r="C62" i="53" a="1"/>
  <c r="C62" i="53" s="1"/>
  <c r="D61" i="53" a="1"/>
  <c r="D61" i="53" s="1"/>
  <c r="B61" i="53" a="1"/>
  <c r="B61" i="53" s="1"/>
  <c r="B52" i="53" a="1"/>
  <c r="B52" i="53" s="1"/>
  <c r="B50" i="53" a="1"/>
  <c r="B50" i="53" s="1"/>
  <c r="B48" i="53" a="1"/>
  <c r="B48" i="53" s="1"/>
  <c r="H53" i="53" a="1"/>
  <c r="H53" i="53" s="1"/>
  <c r="H51" i="53" a="1"/>
  <c r="H51" i="53" s="1"/>
  <c r="H49" i="53" a="1"/>
  <c r="H49" i="53" s="1"/>
  <c r="H47" i="53" a="1"/>
  <c r="H47" i="53" s="1"/>
  <c r="L52" i="53" a="1"/>
  <c r="L52" i="53" s="1"/>
  <c r="L50" i="53" a="1"/>
  <c r="L50" i="53" s="1"/>
  <c r="L48" i="53" a="1"/>
  <c r="L48" i="53" s="1"/>
  <c r="O48" i="53" a="1"/>
  <c r="O48" i="53" s="1"/>
  <c r="O50" i="53" a="1"/>
  <c r="O50" i="53" s="1"/>
  <c r="O52" i="53" a="1"/>
  <c r="O52" i="53" s="1"/>
  <c r="O47" i="53" a="1"/>
  <c r="O47" i="53" s="1"/>
  <c r="C36" i="53" a="1"/>
  <c r="C36" i="53" s="1"/>
  <c r="C38" i="53" a="1"/>
  <c r="C38" i="53" s="1"/>
  <c r="C40" i="53" a="1"/>
  <c r="C40" i="53" s="1"/>
  <c r="C35" i="53" a="1"/>
  <c r="C35" i="53" s="1"/>
  <c r="H42" i="53"/>
  <c r="G36" i="53" a="1"/>
  <c r="G36" i="53" s="1"/>
  <c r="G38" i="53" a="1"/>
  <c r="G38" i="53" s="1"/>
  <c r="G40" i="53" a="1"/>
  <c r="G40" i="53" s="1"/>
  <c r="G35" i="53" a="1"/>
  <c r="G35" i="53" s="1"/>
  <c r="Q65" i="53" a="1"/>
  <c r="Q65" i="53" s="1"/>
  <c r="O65" i="53" a="1"/>
  <c r="O65" i="53" s="1"/>
  <c r="M65" i="53" a="1"/>
  <c r="M65" i="53" s="1"/>
  <c r="K65" i="53" a="1"/>
  <c r="K65" i="53" s="1"/>
  <c r="I65" i="53" a="1"/>
  <c r="I65" i="53" s="1"/>
  <c r="G65" i="53" a="1"/>
  <c r="G65" i="53" s="1"/>
  <c r="E65" i="53" a="1"/>
  <c r="E65" i="53" s="1"/>
  <c r="Q64" i="53" a="1"/>
  <c r="Q64" i="53" s="1"/>
  <c r="O64" i="53" a="1"/>
  <c r="O64" i="53" s="1"/>
  <c r="M64" i="53" a="1"/>
  <c r="M64" i="53" s="1"/>
  <c r="K64" i="53" a="1"/>
  <c r="K64" i="53" s="1"/>
  <c r="I64" i="53" a="1"/>
  <c r="I64" i="53" s="1"/>
  <c r="G64" i="53" a="1"/>
  <c r="G64" i="53" s="1"/>
  <c r="E64" i="53" a="1"/>
  <c r="E64" i="53" s="1"/>
  <c r="Q63" i="53" a="1"/>
  <c r="Q63" i="53" s="1"/>
  <c r="O63" i="53" a="1"/>
  <c r="O63" i="53" s="1"/>
  <c r="M63" i="53" a="1"/>
  <c r="M63" i="53" s="1"/>
  <c r="K63" i="53" a="1"/>
  <c r="K63" i="53" s="1"/>
  <c r="I63" i="53" a="1"/>
  <c r="I63" i="53" s="1"/>
  <c r="G63" i="53" a="1"/>
  <c r="G63" i="53" s="1"/>
  <c r="E63" i="53" a="1"/>
  <c r="E63" i="53" s="1"/>
  <c r="Q62" i="53" a="1"/>
  <c r="Q62" i="53" s="1"/>
  <c r="O62" i="53" a="1"/>
  <c r="O62" i="53" s="1"/>
  <c r="M62" i="53" a="1"/>
  <c r="M62" i="53" s="1"/>
  <c r="K62" i="53" a="1"/>
  <c r="K62" i="53" s="1"/>
  <c r="I62" i="53" a="1"/>
  <c r="I62" i="53" s="1"/>
  <c r="G62" i="53" a="1"/>
  <c r="G62" i="53" s="1"/>
  <c r="E62" i="53" a="1"/>
  <c r="E62" i="53" s="1"/>
  <c r="Q61" i="53" a="1"/>
  <c r="Q61" i="53" s="1"/>
  <c r="O61" i="53" a="1"/>
  <c r="O61" i="53" s="1"/>
  <c r="M61" i="53" a="1"/>
  <c r="M61" i="53" s="1"/>
  <c r="K61" i="53" a="1"/>
  <c r="K61" i="53" s="1"/>
  <c r="I61" i="53" a="1"/>
  <c r="I61" i="53" s="1"/>
  <c r="G61" i="53" a="1"/>
  <c r="G61" i="53" s="1"/>
  <c r="E61" i="53" a="1"/>
  <c r="E61" i="53" s="1"/>
  <c r="Q60" i="53" a="1"/>
  <c r="Q60" i="53" s="1"/>
  <c r="O60" i="53" a="1"/>
  <c r="O60" i="53" s="1"/>
  <c r="M60" i="53" a="1"/>
  <c r="M60" i="53" s="1"/>
  <c r="K60" i="53" a="1"/>
  <c r="K60" i="53" s="1"/>
  <c r="I60" i="53" a="1"/>
  <c r="I60" i="53" s="1"/>
  <c r="G60" i="53" a="1"/>
  <c r="G60" i="53" s="1"/>
  <c r="E60" i="53" a="1"/>
  <c r="E60" i="53" s="1"/>
  <c r="Q59" i="53" a="1"/>
  <c r="Q59" i="53" s="1"/>
  <c r="O59" i="53" a="1"/>
  <c r="O59" i="53" s="1"/>
  <c r="M59" i="53" a="1"/>
  <c r="M59" i="53" s="1"/>
  <c r="K59" i="53" a="1"/>
  <c r="K59" i="53" s="1"/>
  <c r="I59" i="53" a="1"/>
  <c r="I59" i="53" s="1"/>
  <c r="G59" i="53" a="1"/>
  <c r="G59" i="53" s="1"/>
  <c r="E59" i="53" a="1"/>
  <c r="E59" i="53" s="1"/>
  <c r="C65" i="53" a="1"/>
  <c r="C65" i="53" s="1"/>
  <c r="D64" i="53" a="1"/>
  <c r="D64" i="53" s="1"/>
  <c r="B64" i="53" a="1"/>
  <c r="B64" i="53" s="1"/>
  <c r="C63" i="53" a="1"/>
  <c r="C63" i="53" s="1"/>
  <c r="D62" i="53" a="1"/>
  <c r="D62" i="53" s="1"/>
  <c r="B62" i="53" a="1"/>
  <c r="B62" i="53" s="1"/>
  <c r="B11" i="53" a="1"/>
  <c r="B11" i="53" s="1"/>
  <c r="D11" i="53" a="1"/>
  <c r="D11" i="53" s="1"/>
  <c r="B12" i="53" a="1"/>
  <c r="B12" i="53" s="1"/>
  <c r="D12" i="53" a="1"/>
  <c r="D12" i="53" s="1"/>
  <c r="B13" i="53" a="1"/>
  <c r="B13" i="53" s="1"/>
  <c r="D13" i="53" a="1"/>
  <c r="D13" i="53" s="1"/>
  <c r="B14" i="53" a="1"/>
  <c r="B14" i="53" s="1"/>
  <c r="D14" i="53" a="1"/>
  <c r="D14" i="53" s="1"/>
  <c r="B15" i="53" a="1"/>
  <c r="B15" i="53" s="1"/>
  <c r="D15" i="53" a="1"/>
  <c r="D15" i="53" s="1"/>
  <c r="B16" i="53" a="1"/>
  <c r="B16" i="53" s="1"/>
  <c r="D16" i="53" a="1"/>
  <c r="D16" i="53" s="1"/>
  <c r="B17" i="53" a="1"/>
  <c r="B17" i="53" s="1"/>
  <c r="D17" i="53" a="1"/>
  <c r="D17" i="53" s="1"/>
  <c r="G11" i="53" a="1"/>
  <c r="G11" i="53" s="1"/>
  <c r="I11" i="53" a="1"/>
  <c r="I11" i="53" s="1"/>
  <c r="G12" i="53" a="1"/>
  <c r="G12" i="53" s="1"/>
  <c r="I12" i="53" a="1"/>
  <c r="I12" i="53" s="1"/>
  <c r="G13" i="53" a="1"/>
  <c r="G13" i="53" s="1"/>
  <c r="I13" i="53" a="1"/>
  <c r="I13" i="53" s="1"/>
  <c r="G14" i="53" a="1"/>
  <c r="G14" i="53" s="1"/>
  <c r="I14" i="53" a="1"/>
  <c r="I14" i="53" s="1"/>
  <c r="G15" i="53" a="1"/>
  <c r="G15" i="53" s="1"/>
  <c r="I15" i="53" a="1"/>
  <c r="I15" i="53" s="1"/>
  <c r="G16" i="53" a="1"/>
  <c r="G16" i="53" s="1"/>
  <c r="I16" i="53" a="1"/>
  <c r="I16" i="53" s="1"/>
  <c r="G17" i="53" a="1"/>
  <c r="G17" i="53" s="1"/>
  <c r="I17" i="53" a="1"/>
  <c r="I17" i="53" s="1"/>
  <c r="L11" i="53" a="1"/>
  <c r="L11" i="53" s="1"/>
  <c r="N11" i="53" a="1"/>
  <c r="N11" i="53" s="1"/>
  <c r="L12" i="53" a="1"/>
  <c r="L12" i="53" s="1"/>
  <c r="N12" i="53" a="1"/>
  <c r="N12" i="53" s="1"/>
  <c r="L13" i="53" a="1"/>
  <c r="L13" i="53" s="1"/>
  <c r="N13" i="53" a="1"/>
  <c r="N13" i="53" s="1"/>
  <c r="L14" i="53" a="1"/>
  <c r="L14" i="53" s="1"/>
  <c r="N14" i="53" a="1"/>
  <c r="N14" i="53" s="1"/>
  <c r="L15" i="53" a="1"/>
  <c r="L15" i="53" s="1"/>
  <c r="N15" i="53" a="1"/>
  <c r="N15" i="53" s="1"/>
  <c r="L16" i="53" a="1"/>
  <c r="L16" i="53" s="1"/>
  <c r="N16" i="53" a="1"/>
  <c r="N16" i="53" s="1"/>
  <c r="L17" i="53" a="1"/>
  <c r="L17" i="53" s="1"/>
  <c r="N17" i="53" a="1"/>
  <c r="N17" i="53" s="1"/>
  <c r="Q11" i="53" a="1"/>
  <c r="Q11" i="53" s="1"/>
  <c r="S11" i="53" a="1"/>
  <c r="S11" i="53" s="1"/>
  <c r="Q12" i="53" a="1"/>
  <c r="Q12" i="53" s="1"/>
  <c r="S12" i="53" a="1"/>
  <c r="S12" i="53" s="1"/>
  <c r="Q13" i="53" a="1"/>
  <c r="Q13" i="53" s="1"/>
  <c r="S13" i="53" a="1"/>
  <c r="S13" i="53" s="1"/>
  <c r="Q14" i="53" a="1"/>
  <c r="Q14" i="53" s="1"/>
  <c r="S14" i="53" a="1"/>
  <c r="S14" i="53" s="1"/>
  <c r="Q15" i="53" a="1"/>
  <c r="Q15" i="53" s="1"/>
  <c r="S15" i="53" a="1"/>
  <c r="S15" i="53" s="1"/>
  <c r="Q16" i="53" a="1"/>
  <c r="Q16" i="53" s="1"/>
  <c r="S16" i="53" a="1"/>
  <c r="S16" i="53" s="1"/>
  <c r="Q17" i="53" a="1"/>
  <c r="Q17" i="53" s="1"/>
  <c r="S17" i="53" a="1"/>
  <c r="S17" i="53" s="1"/>
  <c r="B23" i="53" a="1"/>
  <c r="B23" i="53" s="1"/>
  <c r="D23" i="53" a="1"/>
  <c r="D23" i="53" s="1"/>
  <c r="B24" i="53" a="1"/>
  <c r="B24" i="53" s="1"/>
  <c r="D24" i="53" a="1"/>
  <c r="D24" i="53" s="1"/>
  <c r="B25" i="53" a="1"/>
  <c r="B25" i="53" s="1"/>
  <c r="D25" i="53" a="1"/>
  <c r="D25" i="53" s="1"/>
  <c r="B26" i="53" a="1"/>
  <c r="B26" i="53" s="1"/>
  <c r="D26" i="53" a="1"/>
  <c r="D26" i="53" s="1"/>
  <c r="B27" i="53" a="1"/>
  <c r="B27" i="53" s="1"/>
  <c r="D27" i="53" a="1"/>
  <c r="D27" i="53" s="1"/>
  <c r="B28" i="53" a="1"/>
  <c r="B28" i="53" s="1"/>
  <c r="D28" i="53" a="1"/>
  <c r="D28" i="53" s="1"/>
  <c r="B29" i="53" a="1"/>
  <c r="B29" i="53" s="1"/>
  <c r="D29" i="53" a="1"/>
  <c r="D29" i="53" s="1"/>
  <c r="G23" i="53" a="1"/>
  <c r="G23" i="53" s="1"/>
  <c r="I23" i="53" a="1"/>
  <c r="I23" i="53" s="1"/>
  <c r="G24" i="53" a="1"/>
  <c r="G24" i="53" s="1"/>
  <c r="I24" i="53" a="1"/>
  <c r="I24" i="53" s="1"/>
  <c r="G25" i="53" a="1"/>
  <c r="G25" i="53" s="1"/>
  <c r="I25" i="53" a="1"/>
  <c r="I25" i="53" s="1"/>
  <c r="G26" i="53" a="1"/>
  <c r="G26" i="53" s="1"/>
  <c r="I26" i="53" a="1"/>
  <c r="I26" i="53" s="1"/>
  <c r="G27" i="53" a="1"/>
  <c r="G27" i="53" s="1"/>
  <c r="I27" i="53" a="1"/>
  <c r="I27" i="53" s="1"/>
  <c r="G28" i="53" a="1"/>
  <c r="G28" i="53" s="1"/>
  <c r="I28" i="53" a="1"/>
  <c r="I28" i="53" s="1"/>
  <c r="G29" i="53" a="1"/>
  <c r="G29" i="53" s="1"/>
  <c r="I29" i="53" a="1"/>
  <c r="I29" i="53" s="1"/>
  <c r="L23" i="53" a="1"/>
  <c r="L23" i="53" s="1"/>
  <c r="N23" i="53" a="1"/>
  <c r="N23" i="53" s="1"/>
  <c r="L24" i="53" a="1"/>
  <c r="L24" i="53" s="1"/>
  <c r="N24" i="53" a="1"/>
  <c r="N24" i="53" s="1"/>
  <c r="L25" i="53" a="1"/>
  <c r="L25" i="53" s="1"/>
  <c r="N25" i="53" a="1"/>
  <c r="N25" i="53" s="1"/>
  <c r="L26" i="53" a="1"/>
  <c r="L26" i="53" s="1"/>
  <c r="N26" i="53" a="1"/>
  <c r="N26" i="53" s="1"/>
  <c r="L27" i="53" a="1"/>
  <c r="L27" i="53" s="1"/>
  <c r="N27" i="53" a="1"/>
  <c r="N27" i="53" s="1"/>
  <c r="L28" i="53" a="1"/>
  <c r="L28" i="53" s="1"/>
  <c r="N28" i="53" a="1"/>
  <c r="N28" i="53" s="1"/>
  <c r="L29" i="53" a="1"/>
  <c r="L29" i="53" s="1"/>
  <c r="N29" i="53" a="1"/>
  <c r="N29" i="53" s="1"/>
  <c r="B59" i="53" a="1"/>
  <c r="B59" i="53" s="1"/>
  <c r="D59" i="53" a="1"/>
  <c r="D59" i="53" s="1"/>
  <c r="C60" i="53" a="1"/>
  <c r="C60" i="53" s="1"/>
  <c r="C61" i="53" a="1"/>
  <c r="C61" i="53" s="1"/>
  <c r="C11" i="57" a="1"/>
  <c r="C11" i="57" s="1"/>
  <c r="D11" i="57" a="1"/>
  <c r="D11" i="57" s="1"/>
  <c r="E11" i="57" a="1"/>
  <c r="E11" i="57" s="1"/>
  <c r="L11" i="57" a="1"/>
  <c r="L11" i="57" s="1"/>
  <c r="M11" i="57" a="1"/>
  <c r="M11" i="57" s="1"/>
  <c r="N11" i="57" a="1"/>
  <c r="N11" i="57" s="1"/>
  <c r="O11" i="57" a="1"/>
  <c r="O11" i="57" s="1"/>
  <c r="Q31" i="57" a="1"/>
  <c r="Q31" i="57" s="1"/>
  <c r="O31" i="57" a="1"/>
  <c r="O31" i="57" s="1"/>
  <c r="M31" i="57" a="1"/>
  <c r="M31" i="57" s="1"/>
  <c r="K31" i="57" a="1"/>
  <c r="K31" i="57" s="1"/>
  <c r="I31" i="57" a="1"/>
  <c r="I31" i="57" s="1"/>
  <c r="G31" i="57" a="1"/>
  <c r="G31" i="57" s="1"/>
  <c r="E31" i="57" a="1"/>
  <c r="E31" i="57" s="1"/>
  <c r="C31" i="57" a="1"/>
  <c r="C31" i="57" s="1"/>
  <c r="B26" i="57" a="1"/>
  <c r="B26" i="57" s="1"/>
  <c r="R31" i="57" a="1"/>
  <c r="R31" i="57" s="1"/>
  <c r="P31" i="57" a="1"/>
  <c r="P31" i="57" s="1"/>
  <c r="N31" i="57" a="1"/>
  <c r="N31" i="57" s="1"/>
  <c r="L31" i="57" a="1"/>
  <c r="L31" i="57" s="1"/>
  <c r="J31" i="57" a="1"/>
  <c r="J31" i="57" s="1"/>
  <c r="H31" i="57" a="1"/>
  <c r="H31" i="57" s="1"/>
  <c r="F31" i="57" a="1"/>
  <c r="F31" i="57" s="1"/>
  <c r="D31" i="57" a="1"/>
  <c r="D31" i="57" s="1"/>
  <c r="B31" i="57" a="1"/>
  <c r="B31" i="57" s="1"/>
  <c r="O16" i="57" a="1"/>
  <c r="O16" i="57" s="1"/>
  <c r="N16" i="57" a="1"/>
  <c r="N16" i="57" s="1"/>
  <c r="M16" i="57" a="1"/>
  <c r="M16" i="57" s="1"/>
  <c r="L16" i="57" a="1"/>
  <c r="L16" i="57" s="1"/>
  <c r="E16" i="57" a="1"/>
  <c r="E16" i="57" s="1"/>
  <c r="D16" i="57" a="1"/>
  <c r="D16" i="57" s="1"/>
  <c r="C16" i="57" a="1"/>
  <c r="C16" i="57" s="1"/>
  <c r="B16" i="57" a="1"/>
  <c r="B16" i="57" s="1"/>
  <c r="J16" i="57" a="1"/>
  <c r="J16" i="57" s="1"/>
  <c r="I16" i="57" a="1"/>
  <c r="I16" i="57" s="1"/>
  <c r="H16" i="57" a="1"/>
  <c r="H16" i="57" s="1"/>
  <c r="G16" i="57" a="1"/>
  <c r="G16" i="57" s="1"/>
  <c r="G11" i="57" a="1"/>
  <c r="G11" i="57" s="1"/>
  <c r="H11" i="57" a="1"/>
  <c r="H11" i="57" s="1"/>
  <c r="I11" i="57" a="1"/>
  <c r="I11" i="57" s="1"/>
  <c r="J11" i="57" a="1"/>
  <c r="J11" i="57" s="1"/>
  <c r="Q11" i="57" a="1"/>
  <c r="Q11" i="57" s="1"/>
  <c r="R11" i="57" a="1"/>
  <c r="R11" i="57" s="1"/>
  <c r="S11" i="57" a="1"/>
  <c r="S11" i="57" s="1"/>
  <c r="T11" i="57" a="1"/>
  <c r="T11" i="57" s="1"/>
  <c r="G11" i="56" a="1"/>
  <c r="G11" i="56" s="1"/>
  <c r="I11" i="56" a="1"/>
  <c r="I11" i="56" s="1"/>
  <c r="R11" i="56" a="1"/>
  <c r="R11" i="56" s="1"/>
  <c r="T11" i="56" a="1"/>
  <c r="T11" i="56" s="1"/>
  <c r="G12" i="56" a="1"/>
  <c r="G12" i="56" s="1"/>
  <c r="R55" i="56" a="1"/>
  <c r="R55" i="56" s="1"/>
  <c r="Q55" i="56" a="1"/>
  <c r="Q55" i="56" s="1"/>
  <c r="O55" i="56" a="1"/>
  <c r="O55" i="56" s="1"/>
  <c r="M55" i="56" a="1"/>
  <c r="M55" i="56" s="1"/>
  <c r="K55" i="56" a="1"/>
  <c r="K55" i="56" s="1"/>
  <c r="I55" i="56" a="1"/>
  <c r="I55" i="56" s="1"/>
  <c r="G55" i="56" a="1"/>
  <c r="G55" i="56" s="1"/>
  <c r="E55" i="56" a="1"/>
  <c r="E55" i="56" s="1"/>
  <c r="C55" i="56" a="1"/>
  <c r="C55" i="56" s="1"/>
  <c r="R54" i="56" a="1"/>
  <c r="R54" i="56" s="1"/>
  <c r="P54" i="56" a="1"/>
  <c r="P54" i="56" s="1"/>
  <c r="N54" i="56" a="1"/>
  <c r="N54" i="56" s="1"/>
  <c r="L54" i="56" a="1"/>
  <c r="L54" i="56" s="1"/>
  <c r="J54" i="56" a="1"/>
  <c r="J54" i="56" s="1"/>
  <c r="H54" i="56" a="1"/>
  <c r="H54" i="56" s="1"/>
  <c r="F54" i="56" a="1"/>
  <c r="F54" i="56" s="1"/>
  <c r="D54" i="56" a="1"/>
  <c r="D54" i="56" s="1"/>
  <c r="B54" i="56" a="1"/>
  <c r="B54" i="56" s="1"/>
  <c r="Q53" i="56" a="1"/>
  <c r="Q53" i="56" s="1"/>
  <c r="O53" i="56" a="1"/>
  <c r="O53" i="56" s="1"/>
  <c r="M53" i="56" a="1"/>
  <c r="M53" i="56" s="1"/>
  <c r="K53" i="56" a="1"/>
  <c r="K53" i="56" s="1"/>
  <c r="I53" i="56" a="1"/>
  <c r="I53" i="56" s="1"/>
  <c r="G53" i="56" a="1"/>
  <c r="G53" i="56" s="1"/>
  <c r="E53" i="56" a="1"/>
  <c r="E53" i="56" s="1"/>
  <c r="C53" i="56" a="1"/>
  <c r="C53" i="56" s="1"/>
  <c r="R52" i="56" a="1"/>
  <c r="R52" i="56" s="1"/>
  <c r="P52" i="56" a="1"/>
  <c r="P52" i="56" s="1"/>
  <c r="N52" i="56" a="1"/>
  <c r="N52" i="56" s="1"/>
  <c r="L52" i="56" a="1"/>
  <c r="L52" i="56" s="1"/>
  <c r="J52" i="56" a="1"/>
  <c r="J52" i="56" s="1"/>
  <c r="H52" i="56" a="1"/>
  <c r="H52" i="56" s="1"/>
  <c r="F52" i="56" a="1"/>
  <c r="F52" i="56" s="1"/>
  <c r="D52" i="56" a="1"/>
  <c r="D52" i="56" s="1"/>
  <c r="B52" i="56" a="1"/>
  <c r="B52" i="56" s="1"/>
  <c r="Q51" i="56" a="1"/>
  <c r="Q51" i="56" s="1"/>
  <c r="O51" i="56" a="1"/>
  <c r="O51" i="56" s="1"/>
  <c r="M51" i="56" a="1"/>
  <c r="M51" i="56" s="1"/>
  <c r="K51" i="56" a="1"/>
  <c r="K51" i="56" s="1"/>
  <c r="P55" i="56" a="1"/>
  <c r="P55" i="56" s="1"/>
  <c r="N55" i="56" a="1"/>
  <c r="N55" i="56" s="1"/>
  <c r="L55" i="56" a="1"/>
  <c r="L55" i="56" s="1"/>
  <c r="J55" i="56" a="1"/>
  <c r="J55" i="56" s="1"/>
  <c r="H55" i="56" a="1"/>
  <c r="H55" i="56" s="1"/>
  <c r="F55" i="56" a="1"/>
  <c r="F55" i="56" s="1"/>
  <c r="D55" i="56" a="1"/>
  <c r="D55" i="56" s="1"/>
  <c r="B55" i="56" a="1"/>
  <c r="B55" i="56" s="1"/>
  <c r="Q54" i="56" a="1"/>
  <c r="Q54" i="56" s="1"/>
  <c r="O54" i="56" a="1"/>
  <c r="O54" i="56" s="1"/>
  <c r="M54" i="56" a="1"/>
  <c r="M54" i="56" s="1"/>
  <c r="K54" i="56" a="1"/>
  <c r="K54" i="56" s="1"/>
  <c r="I54" i="56" a="1"/>
  <c r="I54" i="56" s="1"/>
  <c r="G54" i="56" a="1"/>
  <c r="G54" i="56" s="1"/>
  <c r="E54" i="56" a="1"/>
  <c r="E54" i="56" s="1"/>
  <c r="C54" i="56" a="1"/>
  <c r="C54" i="56" s="1"/>
  <c r="R53" i="56" a="1"/>
  <c r="R53" i="56" s="1"/>
  <c r="P53" i="56" a="1"/>
  <c r="P53" i="56" s="1"/>
  <c r="N53" i="56" a="1"/>
  <c r="N53" i="56" s="1"/>
  <c r="L53" i="56" a="1"/>
  <c r="L53" i="56" s="1"/>
  <c r="J53" i="56" a="1"/>
  <c r="J53" i="56" s="1"/>
  <c r="H53" i="56" a="1"/>
  <c r="H53" i="56" s="1"/>
  <c r="F53" i="56" a="1"/>
  <c r="F53" i="56" s="1"/>
  <c r="D53" i="56" a="1"/>
  <c r="D53" i="56" s="1"/>
  <c r="B53" i="56" a="1"/>
  <c r="B53" i="56" s="1"/>
  <c r="Q52" i="56" a="1"/>
  <c r="Q52" i="56" s="1"/>
  <c r="O52" i="56" a="1"/>
  <c r="O52" i="56" s="1"/>
  <c r="M52" i="56" a="1"/>
  <c r="M52" i="56" s="1"/>
  <c r="K52" i="56" a="1"/>
  <c r="K52" i="56" s="1"/>
  <c r="I52" i="56" a="1"/>
  <c r="I52" i="56" s="1"/>
  <c r="G52" i="56" a="1"/>
  <c r="G52" i="56" s="1"/>
  <c r="E52" i="56" a="1"/>
  <c r="E52" i="56" s="1"/>
  <c r="C52" i="56" a="1"/>
  <c r="C52" i="56" s="1"/>
  <c r="P51" i="56" a="1"/>
  <c r="P51" i="56" s="1"/>
  <c r="L51" i="56" a="1"/>
  <c r="L51" i="56" s="1"/>
  <c r="I51" i="56" a="1"/>
  <c r="I51" i="56" s="1"/>
  <c r="G51" i="56" a="1"/>
  <c r="G51" i="56" s="1"/>
  <c r="E51" i="56" a="1"/>
  <c r="E51" i="56" s="1"/>
  <c r="C51" i="56" a="1"/>
  <c r="C51" i="56" s="1"/>
  <c r="B45" i="56" a="1"/>
  <c r="B45" i="56" s="1"/>
  <c r="B44" i="56" a="1"/>
  <c r="B44" i="56" s="1"/>
  <c r="B43" i="56" a="1"/>
  <c r="B43" i="56" s="1"/>
  <c r="B42" i="56" a="1"/>
  <c r="B42" i="56" s="1"/>
  <c r="B41" i="56" a="1"/>
  <c r="B41" i="56" s="1"/>
  <c r="O25" i="56" a="1"/>
  <c r="O25" i="56" s="1"/>
  <c r="N25" i="56" a="1"/>
  <c r="N25" i="56" s="1"/>
  <c r="M25" i="56" a="1"/>
  <c r="M25" i="56" s="1"/>
  <c r="L25" i="56" a="1"/>
  <c r="L25" i="56" s="1"/>
  <c r="R51" i="56" a="1"/>
  <c r="R51" i="56" s="1"/>
  <c r="N51" i="56" a="1"/>
  <c r="N51" i="56" s="1"/>
  <c r="J51" i="56" a="1"/>
  <c r="J51" i="56" s="1"/>
  <c r="H51" i="56" a="1"/>
  <c r="H51" i="56" s="1"/>
  <c r="F51" i="56" a="1"/>
  <c r="F51" i="56" s="1"/>
  <c r="D51" i="56" a="1"/>
  <c r="D51" i="56" s="1"/>
  <c r="B51" i="56" a="1"/>
  <c r="B51" i="56" s="1"/>
  <c r="J25" i="56" a="1"/>
  <c r="J25" i="56" s="1"/>
  <c r="I25" i="56" a="1"/>
  <c r="I25" i="56" s="1"/>
  <c r="H25" i="56" a="1"/>
  <c r="H25" i="56" s="1"/>
  <c r="G25" i="56" a="1"/>
  <c r="G25" i="56" s="1"/>
  <c r="J24" i="56" a="1"/>
  <c r="J24" i="56" s="1"/>
  <c r="I24" i="56" a="1"/>
  <c r="I24" i="56" s="1"/>
  <c r="H24" i="56" a="1"/>
  <c r="H24" i="56" s="1"/>
  <c r="G24" i="56" a="1"/>
  <c r="G24" i="56" s="1"/>
  <c r="J23" i="56" a="1"/>
  <c r="J23" i="56" s="1"/>
  <c r="I23" i="56" a="1"/>
  <c r="I23" i="56" s="1"/>
  <c r="H23" i="56" a="1"/>
  <c r="H23" i="56" s="1"/>
  <c r="G23" i="56" a="1"/>
  <c r="G23" i="56" s="1"/>
  <c r="J22" i="56" a="1"/>
  <c r="J22" i="56" s="1"/>
  <c r="I22" i="56" a="1"/>
  <c r="I22" i="56" s="1"/>
  <c r="H22" i="56" a="1"/>
  <c r="H22" i="56" s="1"/>
  <c r="G22" i="56" a="1"/>
  <c r="G22" i="56" s="1"/>
  <c r="J21" i="56" a="1"/>
  <c r="J21" i="56" s="1"/>
  <c r="I21" i="56" a="1"/>
  <c r="I21" i="56" s="1"/>
  <c r="H21" i="56" a="1"/>
  <c r="H21" i="56" s="1"/>
  <c r="G21" i="56" a="1"/>
  <c r="G21" i="56" s="1"/>
  <c r="E25" i="56" a="1"/>
  <c r="E25" i="56" s="1"/>
  <c r="C25" i="56" a="1"/>
  <c r="C25" i="56" s="1"/>
  <c r="N24" i="56" a="1"/>
  <c r="N24" i="56" s="1"/>
  <c r="L24" i="56" a="1"/>
  <c r="L24" i="56" s="1"/>
  <c r="E24" i="56" a="1"/>
  <c r="E24" i="56" s="1"/>
  <c r="C24" i="56" a="1"/>
  <c r="C24" i="56" s="1"/>
  <c r="N23" i="56" a="1"/>
  <c r="N23" i="56" s="1"/>
  <c r="L23" i="56" a="1"/>
  <c r="L23" i="56" s="1"/>
  <c r="E23" i="56" a="1"/>
  <c r="E23" i="56" s="1"/>
  <c r="C23" i="56" a="1"/>
  <c r="C23" i="56" s="1"/>
  <c r="N22" i="56" a="1"/>
  <c r="N22" i="56" s="1"/>
  <c r="L22" i="56" a="1"/>
  <c r="L22" i="56" s="1"/>
  <c r="E22" i="56" a="1"/>
  <c r="E22" i="56" s="1"/>
  <c r="C22" i="56" a="1"/>
  <c r="C22" i="56" s="1"/>
  <c r="N21" i="56" a="1"/>
  <c r="N21" i="56" s="1"/>
  <c r="L21" i="56" a="1"/>
  <c r="L21" i="56" s="1"/>
  <c r="E21" i="56" a="1"/>
  <c r="E21" i="56" s="1"/>
  <c r="C21" i="56" a="1"/>
  <c r="C21" i="56" s="1"/>
  <c r="Y15" i="56" a="1"/>
  <c r="Y15" i="56" s="1"/>
  <c r="X15" i="56" a="1"/>
  <c r="X15" i="56" s="1"/>
  <c r="W15" i="56" a="1"/>
  <c r="W15" i="56" s="1"/>
  <c r="V15" i="56" a="1"/>
  <c r="V15" i="56" s="1"/>
  <c r="O15" i="56" a="1"/>
  <c r="O15" i="56" s="1"/>
  <c r="N15" i="56" a="1"/>
  <c r="N15" i="56" s="1"/>
  <c r="M15" i="56" a="1"/>
  <c r="M15" i="56" s="1"/>
  <c r="L15" i="56" a="1"/>
  <c r="L15" i="56" s="1"/>
  <c r="Y14" i="56" a="1"/>
  <c r="Y14" i="56" s="1"/>
  <c r="X14" i="56" a="1"/>
  <c r="X14" i="56" s="1"/>
  <c r="W14" i="56" a="1"/>
  <c r="W14" i="56" s="1"/>
  <c r="V14" i="56" a="1"/>
  <c r="V14" i="56" s="1"/>
  <c r="O14" i="56" a="1"/>
  <c r="O14" i="56" s="1"/>
  <c r="N14" i="56" a="1"/>
  <c r="N14" i="56" s="1"/>
  <c r="M14" i="56" a="1"/>
  <c r="M14" i="56" s="1"/>
  <c r="L14" i="56" a="1"/>
  <c r="L14" i="56" s="1"/>
  <c r="Y13" i="56" a="1"/>
  <c r="Y13" i="56" s="1"/>
  <c r="X13" i="56" a="1"/>
  <c r="X13" i="56" s="1"/>
  <c r="W13" i="56" a="1"/>
  <c r="W13" i="56" s="1"/>
  <c r="V13" i="56" a="1"/>
  <c r="V13" i="56" s="1"/>
  <c r="O13" i="56" a="1"/>
  <c r="O13" i="56" s="1"/>
  <c r="N13" i="56" a="1"/>
  <c r="N13" i="56" s="1"/>
  <c r="M13" i="56" a="1"/>
  <c r="M13" i="56" s="1"/>
  <c r="L13" i="56" a="1"/>
  <c r="L13" i="56" s="1"/>
  <c r="Y12" i="56" a="1"/>
  <c r="Y12" i="56" s="1"/>
  <c r="X12" i="56" a="1"/>
  <c r="X12" i="56" s="1"/>
  <c r="W12" i="56" a="1"/>
  <c r="W12" i="56" s="1"/>
  <c r="V12" i="56" a="1"/>
  <c r="V12" i="56" s="1"/>
  <c r="O12" i="56" a="1"/>
  <c r="O12" i="56" s="1"/>
  <c r="N12" i="56" a="1"/>
  <c r="N12" i="56" s="1"/>
  <c r="M12" i="56" a="1"/>
  <c r="M12" i="56" s="1"/>
  <c r="L12" i="56" a="1"/>
  <c r="L12" i="56" s="1"/>
  <c r="Y11" i="56" a="1"/>
  <c r="Y11" i="56" s="1"/>
  <c r="X11" i="56" a="1"/>
  <c r="X11" i="56" s="1"/>
  <c r="W11" i="56" a="1"/>
  <c r="W11" i="56" s="1"/>
  <c r="V11" i="56" a="1"/>
  <c r="V11" i="56" s="1"/>
  <c r="O11" i="56" a="1"/>
  <c r="O11" i="56" s="1"/>
  <c r="N11" i="56" a="1"/>
  <c r="N11" i="56" s="1"/>
  <c r="M11" i="56" a="1"/>
  <c r="M11" i="56" s="1"/>
  <c r="L11" i="56" a="1"/>
  <c r="L11" i="56" s="1"/>
  <c r="D25" i="56" a="1"/>
  <c r="D25" i="56" s="1"/>
  <c r="B25" i="56" a="1"/>
  <c r="B25" i="56" s="1"/>
  <c r="O24" i="56" a="1"/>
  <c r="O24" i="56" s="1"/>
  <c r="M24" i="56" a="1"/>
  <c r="M24" i="56" s="1"/>
  <c r="D24" i="56" a="1"/>
  <c r="D24" i="56" s="1"/>
  <c r="B24" i="56" a="1"/>
  <c r="B24" i="56" s="1"/>
  <c r="O23" i="56" a="1"/>
  <c r="O23" i="56" s="1"/>
  <c r="M23" i="56" a="1"/>
  <c r="M23" i="56" s="1"/>
  <c r="D23" i="56" a="1"/>
  <c r="D23" i="56" s="1"/>
  <c r="B23" i="56" a="1"/>
  <c r="B23" i="56" s="1"/>
  <c r="O22" i="56" a="1"/>
  <c r="O22" i="56" s="1"/>
  <c r="M22" i="56" a="1"/>
  <c r="M22" i="56" s="1"/>
  <c r="D22" i="56" a="1"/>
  <c r="D22" i="56" s="1"/>
  <c r="B22" i="56" a="1"/>
  <c r="B22" i="56" s="1"/>
  <c r="O21" i="56" a="1"/>
  <c r="O21" i="56" s="1"/>
  <c r="M21" i="56" a="1"/>
  <c r="M21" i="56" s="1"/>
  <c r="D21" i="56" a="1"/>
  <c r="D21" i="56" s="1"/>
  <c r="B21" i="56" a="1"/>
  <c r="B21" i="56" s="1"/>
  <c r="T15" i="56" a="1"/>
  <c r="T15" i="56" s="1"/>
  <c r="S15" i="56" a="1"/>
  <c r="S15" i="56" s="1"/>
  <c r="R15" i="56" a="1"/>
  <c r="R15" i="56" s="1"/>
  <c r="Q15" i="56" a="1"/>
  <c r="Q15" i="56" s="1"/>
  <c r="J15" i="56" a="1"/>
  <c r="J15" i="56" s="1"/>
  <c r="I15" i="56" a="1"/>
  <c r="I15" i="56" s="1"/>
  <c r="H15" i="56" a="1"/>
  <c r="H15" i="56" s="1"/>
  <c r="G15" i="56" a="1"/>
  <c r="G15" i="56" s="1"/>
  <c r="T14" i="56" a="1"/>
  <c r="T14" i="56" s="1"/>
  <c r="S14" i="56" a="1"/>
  <c r="S14" i="56" s="1"/>
  <c r="R14" i="56" a="1"/>
  <c r="R14" i="56" s="1"/>
  <c r="Q14" i="56" a="1"/>
  <c r="Q14" i="56" s="1"/>
  <c r="J14" i="56" a="1"/>
  <c r="J14" i="56" s="1"/>
  <c r="I14" i="56" a="1"/>
  <c r="I14" i="56" s="1"/>
  <c r="H14" i="56" a="1"/>
  <c r="H14" i="56" s="1"/>
  <c r="G14" i="56" a="1"/>
  <c r="G14" i="56" s="1"/>
  <c r="T13" i="56" a="1"/>
  <c r="T13" i="56" s="1"/>
  <c r="S13" i="56" a="1"/>
  <c r="S13" i="56" s="1"/>
  <c r="R13" i="56" a="1"/>
  <c r="R13" i="56" s="1"/>
  <c r="Q13" i="56" a="1"/>
  <c r="Q13" i="56" s="1"/>
  <c r="J13" i="56" a="1"/>
  <c r="J13" i="56" s="1"/>
  <c r="I13" i="56" a="1"/>
  <c r="I13" i="56" s="1"/>
  <c r="H13" i="56" a="1"/>
  <c r="H13" i="56" s="1"/>
  <c r="G13" i="56" a="1"/>
  <c r="G13" i="56" s="1"/>
  <c r="T12" i="56" a="1"/>
  <c r="T12" i="56" s="1"/>
  <c r="S12" i="56" a="1"/>
  <c r="S12" i="56" s="1"/>
  <c r="R12" i="56" a="1"/>
  <c r="R12" i="56" s="1"/>
  <c r="Q12" i="56" a="1"/>
  <c r="Q12" i="56" s="1"/>
  <c r="J12" i="56" a="1"/>
  <c r="J12" i="56" s="1"/>
  <c r="H11" i="56" a="1"/>
  <c r="H11" i="56" s="1"/>
  <c r="J11" i="56" a="1"/>
  <c r="J11" i="56" s="1"/>
  <c r="Q11" i="56" a="1"/>
  <c r="Q11" i="56" s="1"/>
  <c r="S11" i="56" a="1"/>
  <c r="S11" i="56" s="1"/>
  <c r="H12" i="56" a="1"/>
  <c r="H12" i="56" s="1"/>
  <c r="R55" i="55" a="1"/>
  <c r="R55" i="55" s="1"/>
  <c r="Q55" i="55" a="1"/>
  <c r="Q55" i="55" s="1"/>
  <c r="O55" i="55" a="1"/>
  <c r="O55" i="55" s="1"/>
  <c r="M55" i="55" a="1"/>
  <c r="M55" i="55" s="1"/>
  <c r="K55" i="55" a="1"/>
  <c r="K55" i="55" s="1"/>
  <c r="I55" i="55" a="1"/>
  <c r="I55" i="55" s="1"/>
  <c r="G55" i="55" a="1"/>
  <c r="G55" i="55" s="1"/>
  <c r="E55" i="55" a="1"/>
  <c r="E55" i="55" s="1"/>
  <c r="C55" i="55" a="1"/>
  <c r="C55" i="55" s="1"/>
  <c r="R54" i="55" a="1"/>
  <c r="R54" i="55" s="1"/>
  <c r="P54" i="55" a="1"/>
  <c r="P54" i="55" s="1"/>
  <c r="N54" i="55" a="1"/>
  <c r="N54" i="55" s="1"/>
  <c r="L54" i="55" a="1"/>
  <c r="L54" i="55" s="1"/>
  <c r="J54" i="55" a="1"/>
  <c r="J54" i="55" s="1"/>
  <c r="H54" i="55" a="1"/>
  <c r="H54" i="55" s="1"/>
  <c r="F54" i="55" a="1"/>
  <c r="F54" i="55" s="1"/>
  <c r="D54" i="55" a="1"/>
  <c r="D54" i="55" s="1"/>
  <c r="B54" i="55" a="1"/>
  <c r="B54" i="55" s="1"/>
  <c r="Q53" i="55" a="1"/>
  <c r="Q53" i="55" s="1"/>
  <c r="O53" i="55" a="1"/>
  <c r="O53" i="55" s="1"/>
  <c r="M53" i="55" a="1"/>
  <c r="M53" i="55" s="1"/>
  <c r="K53" i="55" a="1"/>
  <c r="K53" i="55" s="1"/>
  <c r="I53" i="55" a="1"/>
  <c r="I53" i="55" s="1"/>
  <c r="G53" i="55" a="1"/>
  <c r="G53" i="55" s="1"/>
  <c r="E53" i="55" a="1"/>
  <c r="E53" i="55" s="1"/>
  <c r="C53" i="55" a="1"/>
  <c r="C53" i="55" s="1"/>
  <c r="R52" i="55" a="1"/>
  <c r="R52" i="55" s="1"/>
  <c r="P52" i="55" a="1"/>
  <c r="P52" i="55" s="1"/>
  <c r="N52" i="55" a="1"/>
  <c r="N52" i="55" s="1"/>
  <c r="L52" i="55" a="1"/>
  <c r="L52" i="55" s="1"/>
  <c r="J52" i="55" a="1"/>
  <c r="J52" i="55" s="1"/>
  <c r="H52" i="55" a="1"/>
  <c r="H52" i="55" s="1"/>
  <c r="F52" i="55" a="1"/>
  <c r="F52" i="55" s="1"/>
  <c r="D52" i="55" a="1"/>
  <c r="D52" i="55" s="1"/>
  <c r="B52" i="55" a="1"/>
  <c r="B52" i="55" s="1"/>
  <c r="Q51" i="55" a="1"/>
  <c r="Q51" i="55" s="1"/>
  <c r="O51" i="55" a="1"/>
  <c r="O51" i="55" s="1"/>
  <c r="M51" i="55" a="1"/>
  <c r="M51" i="55" s="1"/>
  <c r="K51" i="55" a="1"/>
  <c r="K51" i="55" s="1"/>
  <c r="P55" i="55" a="1"/>
  <c r="P55" i="55" s="1"/>
  <c r="N55" i="55" a="1"/>
  <c r="N55" i="55" s="1"/>
  <c r="L55" i="55" a="1"/>
  <c r="L55" i="55" s="1"/>
  <c r="J55" i="55" a="1"/>
  <c r="J55" i="55" s="1"/>
  <c r="H55" i="55" a="1"/>
  <c r="H55" i="55" s="1"/>
  <c r="F55" i="55" a="1"/>
  <c r="F55" i="55" s="1"/>
  <c r="D55" i="55" a="1"/>
  <c r="D55" i="55" s="1"/>
  <c r="B55" i="55" a="1"/>
  <c r="B55" i="55" s="1"/>
  <c r="Q54" i="55" a="1"/>
  <c r="Q54" i="55" s="1"/>
  <c r="O54" i="55" a="1"/>
  <c r="O54" i="55" s="1"/>
  <c r="M54" i="55" a="1"/>
  <c r="M54" i="55" s="1"/>
  <c r="K54" i="55" a="1"/>
  <c r="K54" i="55" s="1"/>
  <c r="I54" i="55" a="1"/>
  <c r="I54" i="55" s="1"/>
  <c r="G54" i="55" a="1"/>
  <c r="G54" i="55" s="1"/>
  <c r="E54" i="55" a="1"/>
  <c r="E54" i="55" s="1"/>
  <c r="C54" i="55" a="1"/>
  <c r="C54" i="55" s="1"/>
  <c r="R53" i="55" a="1"/>
  <c r="R53" i="55" s="1"/>
  <c r="P53" i="55" a="1"/>
  <c r="P53" i="55" s="1"/>
  <c r="N53" i="55" a="1"/>
  <c r="N53" i="55" s="1"/>
  <c r="L53" i="55" a="1"/>
  <c r="L53" i="55" s="1"/>
  <c r="J53" i="55" a="1"/>
  <c r="J53" i="55" s="1"/>
  <c r="H53" i="55" a="1"/>
  <c r="H53" i="55" s="1"/>
  <c r="F53" i="55" a="1"/>
  <c r="F53" i="55" s="1"/>
  <c r="D53" i="55" a="1"/>
  <c r="D53" i="55" s="1"/>
  <c r="B53" i="55" a="1"/>
  <c r="B53" i="55" s="1"/>
  <c r="Q52" i="55" a="1"/>
  <c r="Q52" i="55" s="1"/>
  <c r="O52" i="55" a="1"/>
  <c r="O52" i="55" s="1"/>
  <c r="M52" i="55" a="1"/>
  <c r="M52" i="55" s="1"/>
  <c r="K52" i="55" a="1"/>
  <c r="K52" i="55" s="1"/>
  <c r="I52" i="55" a="1"/>
  <c r="I52" i="55" s="1"/>
  <c r="G52" i="55" a="1"/>
  <c r="G52" i="55" s="1"/>
  <c r="E52" i="55" a="1"/>
  <c r="E52" i="55" s="1"/>
  <c r="C52" i="55" a="1"/>
  <c r="C52" i="55" s="1"/>
  <c r="R51" i="55" a="1"/>
  <c r="R51" i="55" s="1"/>
  <c r="P51" i="55" a="1"/>
  <c r="P51" i="55" s="1"/>
  <c r="N51" i="55" a="1"/>
  <c r="N51" i="55" s="1"/>
  <c r="L51" i="55" a="1"/>
  <c r="L51" i="55" s="1"/>
  <c r="J51" i="55" a="1"/>
  <c r="J51" i="55" s="1"/>
  <c r="I51" i="55" a="1"/>
  <c r="I51" i="55" s="1"/>
  <c r="H51" i="55" a="1"/>
  <c r="H51" i="55" s="1"/>
  <c r="G51" i="55" a="1"/>
  <c r="G51" i="55" s="1"/>
  <c r="E51" i="55" a="1"/>
  <c r="E51" i="55" s="1"/>
  <c r="C51" i="55" a="1"/>
  <c r="C51" i="55" s="1"/>
  <c r="B45" i="55" a="1"/>
  <c r="B45" i="55" s="1"/>
  <c r="B44" i="55" a="1"/>
  <c r="B44" i="55" s="1"/>
  <c r="B43" i="55" a="1"/>
  <c r="B43" i="55" s="1"/>
  <c r="B42" i="55" a="1"/>
  <c r="B42" i="55" s="1"/>
  <c r="B41" i="55" a="1"/>
  <c r="B41" i="55" s="1"/>
  <c r="O25" i="55" a="1"/>
  <c r="O25" i="55" s="1"/>
  <c r="N25" i="55" a="1"/>
  <c r="N25" i="55" s="1"/>
  <c r="M25" i="55" a="1"/>
  <c r="M25" i="55" s="1"/>
  <c r="F51" i="55" a="1"/>
  <c r="F51" i="55" s="1"/>
  <c r="D51" i="55" a="1"/>
  <c r="D51" i="55" s="1"/>
  <c r="B51" i="55" a="1"/>
  <c r="B51" i="55" s="1"/>
  <c r="B31" i="55"/>
  <c r="J25" i="55" a="1"/>
  <c r="J25" i="55" s="1"/>
  <c r="I25" i="55" a="1"/>
  <c r="I25" i="55" s="1"/>
  <c r="H25" i="55" a="1"/>
  <c r="H25" i="55" s="1"/>
  <c r="G25" i="55" a="1"/>
  <c r="G25" i="55" s="1"/>
  <c r="J24" i="55" a="1"/>
  <c r="J24" i="55" s="1"/>
  <c r="I24" i="55" a="1"/>
  <c r="I24" i="55" s="1"/>
  <c r="H24" i="55" a="1"/>
  <c r="H24" i="55" s="1"/>
  <c r="G24" i="55" a="1"/>
  <c r="G24" i="55" s="1"/>
  <c r="J23" i="55" a="1"/>
  <c r="J23" i="55" s="1"/>
  <c r="I23" i="55" a="1"/>
  <c r="I23" i="55" s="1"/>
  <c r="H23" i="55" a="1"/>
  <c r="H23" i="55" s="1"/>
  <c r="G23" i="55" a="1"/>
  <c r="G23" i="55" s="1"/>
  <c r="J22" i="55" a="1"/>
  <c r="J22" i="55" s="1"/>
  <c r="I22" i="55" a="1"/>
  <c r="I22" i="55" s="1"/>
  <c r="H22" i="55" a="1"/>
  <c r="H22" i="55" s="1"/>
  <c r="G22" i="55" a="1"/>
  <c r="G22" i="55" s="1"/>
  <c r="J21" i="55" a="1"/>
  <c r="J21" i="55" s="1"/>
  <c r="I21" i="55" a="1"/>
  <c r="I21" i="55" s="1"/>
  <c r="H21" i="55" a="1"/>
  <c r="H21" i="55" s="1"/>
  <c r="G21" i="55" a="1"/>
  <c r="G21" i="55" s="1"/>
  <c r="D25" i="55" a="1"/>
  <c r="D25" i="55" s="1"/>
  <c r="B25" i="55" a="1"/>
  <c r="B25" i="55" s="1"/>
  <c r="O24" i="55" a="1"/>
  <c r="O24" i="55" s="1"/>
  <c r="M24" i="55" a="1"/>
  <c r="M24" i="55" s="1"/>
  <c r="D24" i="55" a="1"/>
  <c r="D24" i="55" s="1"/>
  <c r="B24" i="55" a="1"/>
  <c r="B24" i="55" s="1"/>
  <c r="O23" i="55" a="1"/>
  <c r="O23" i="55" s="1"/>
  <c r="M23" i="55" a="1"/>
  <c r="M23" i="55" s="1"/>
  <c r="D23" i="55" a="1"/>
  <c r="D23" i="55" s="1"/>
  <c r="B23" i="55" a="1"/>
  <c r="B23" i="55" s="1"/>
  <c r="O22" i="55" a="1"/>
  <c r="O22" i="55" s="1"/>
  <c r="M22" i="55" a="1"/>
  <c r="M22" i="55" s="1"/>
  <c r="D22" i="55" a="1"/>
  <c r="D22" i="55" s="1"/>
  <c r="B22" i="55" a="1"/>
  <c r="B22" i="55" s="1"/>
  <c r="O21" i="55" a="1"/>
  <c r="O21" i="55" s="1"/>
  <c r="M21" i="55" a="1"/>
  <c r="M21" i="55" s="1"/>
  <c r="D21" i="55" a="1"/>
  <c r="D21" i="55" s="1"/>
  <c r="B21" i="55" a="1"/>
  <c r="B21" i="55" s="1"/>
  <c r="O15" i="55" a="1"/>
  <c r="O15" i="55" s="1"/>
  <c r="N15" i="55" a="1"/>
  <c r="N15" i="55" s="1"/>
  <c r="M15" i="55" a="1"/>
  <c r="M15" i="55" s="1"/>
  <c r="L15" i="55" a="1"/>
  <c r="L15" i="55" s="1"/>
  <c r="E15" i="55" a="1"/>
  <c r="E15" i="55" s="1"/>
  <c r="D15" i="55" a="1"/>
  <c r="D15" i="55" s="1"/>
  <c r="C15" i="55" a="1"/>
  <c r="C15" i="55" s="1"/>
  <c r="B15" i="55" a="1"/>
  <c r="B15" i="55" s="1"/>
  <c r="O14" i="55" a="1"/>
  <c r="O14" i="55" s="1"/>
  <c r="N14" i="55" a="1"/>
  <c r="N14" i="55" s="1"/>
  <c r="M14" i="55" a="1"/>
  <c r="M14" i="55" s="1"/>
  <c r="L14" i="55" a="1"/>
  <c r="L14" i="55" s="1"/>
  <c r="E14" i="55" a="1"/>
  <c r="E14" i="55" s="1"/>
  <c r="D14" i="55" a="1"/>
  <c r="D14" i="55" s="1"/>
  <c r="C14" i="55" a="1"/>
  <c r="C14" i="55" s="1"/>
  <c r="B14" i="55" a="1"/>
  <c r="B14" i="55" s="1"/>
  <c r="O13" i="55" a="1"/>
  <c r="O13" i="55" s="1"/>
  <c r="N13" i="55" a="1"/>
  <c r="N13" i="55" s="1"/>
  <c r="M13" i="55" a="1"/>
  <c r="M13" i="55" s="1"/>
  <c r="L13" i="55" a="1"/>
  <c r="L13" i="55" s="1"/>
  <c r="E13" i="55" a="1"/>
  <c r="E13" i="55" s="1"/>
  <c r="D13" i="55" a="1"/>
  <c r="D13" i="55" s="1"/>
  <c r="C13" i="55" a="1"/>
  <c r="C13" i="55" s="1"/>
  <c r="B13" i="55" a="1"/>
  <c r="B13" i="55" s="1"/>
  <c r="O12" i="55" a="1"/>
  <c r="O12" i="55" s="1"/>
  <c r="N12" i="55" a="1"/>
  <c r="N12" i="55" s="1"/>
  <c r="M12" i="55" a="1"/>
  <c r="M12" i="55" s="1"/>
  <c r="L12" i="55" a="1"/>
  <c r="L12" i="55" s="1"/>
  <c r="E12" i="55" a="1"/>
  <c r="E12" i="55" s="1"/>
  <c r="D12" i="55" a="1"/>
  <c r="D12" i="55" s="1"/>
  <c r="C12" i="55" a="1"/>
  <c r="C12" i="55" s="1"/>
  <c r="B12" i="55" a="1"/>
  <c r="B12" i="55" s="1"/>
  <c r="O11" i="55" a="1"/>
  <c r="O11" i="55" s="1"/>
  <c r="N11" i="55" a="1"/>
  <c r="N11" i="55" s="1"/>
  <c r="M11" i="55" a="1"/>
  <c r="M11" i="55" s="1"/>
  <c r="L11" i="55" a="1"/>
  <c r="L11" i="55" s="1"/>
  <c r="E11" i="55" a="1"/>
  <c r="E11" i="55" s="1"/>
  <c r="D11" i="55" a="1"/>
  <c r="D11" i="55" s="1"/>
  <c r="C11" i="55" a="1"/>
  <c r="C11" i="55" s="1"/>
  <c r="B11" i="55" a="1"/>
  <c r="B11" i="55" s="1"/>
  <c r="L25" i="55" a="1"/>
  <c r="L25" i="55" s="1"/>
  <c r="E25" i="55" a="1"/>
  <c r="E25" i="55" s="1"/>
  <c r="C25" i="55" a="1"/>
  <c r="C25" i="55" s="1"/>
  <c r="N24" i="55" a="1"/>
  <c r="N24" i="55" s="1"/>
  <c r="L24" i="55" a="1"/>
  <c r="L24" i="55" s="1"/>
  <c r="E24" i="55" a="1"/>
  <c r="E24" i="55" s="1"/>
  <c r="C24" i="55" a="1"/>
  <c r="C24" i="55" s="1"/>
  <c r="N23" i="55" a="1"/>
  <c r="N23" i="55" s="1"/>
  <c r="L23" i="55" a="1"/>
  <c r="L23" i="55" s="1"/>
  <c r="E23" i="55" a="1"/>
  <c r="E23" i="55" s="1"/>
  <c r="C23" i="55" a="1"/>
  <c r="C23" i="55" s="1"/>
  <c r="N22" i="55" a="1"/>
  <c r="N22" i="55" s="1"/>
  <c r="L22" i="55" a="1"/>
  <c r="L22" i="55" s="1"/>
  <c r="E22" i="55" a="1"/>
  <c r="E22" i="55" s="1"/>
  <c r="C22" i="55" a="1"/>
  <c r="C22" i="55" s="1"/>
  <c r="N21" i="55" a="1"/>
  <c r="N21" i="55" s="1"/>
  <c r="L21" i="55" a="1"/>
  <c r="L21" i="55" s="1"/>
  <c r="E21" i="55" a="1"/>
  <c r="E21" i="55" s="1"/>
  <c r="C21" i="55" a="1"/>
  <c r="C21" i="55" s="1"/>
  <c r="T15" i="55" a="1"/>
  <c r="T15" i="55" s="1"/>
  <c r="S15" i="55" a="1"/>
  <c r="S15" i="55" s="1"/>
  <c r="R15" i="55" a="1"/>
  <c r="R15" i="55" s="1"/>
  <c r="Q15" i="55" a="1"/>
  <c r="Q15" i="55" s="1"/>
  <c r="J15" i="55" a="1"/>
  <c r="J15" i="55" s="1"/>
  <c r="I15" i="55" a="1"/>
  <c r="I15" i="55" s="1"/>
  <c r="H15" i="55" a="1"/>
  <c r="H15" i="55" s="1"/>
  <c r="G15" i="55" a="1"/>
  <c r="G15" i="55" s="1"/>
  <c r="T14" i="55" a="1"/>
  <c r="T14" i="55" s="1"/>
  <c r="S14" i="55" a="1"/>
  <c r="S14" i="55" s="1"/>
  <c r="R14" i="55" a="1"/>
  <c r="R14" i="55" s="1"/>
  <c r="Q14" i="55" a="1"/>
  <c r="Q14" i="55" s="1"/>
  <c r="J14" i="55" a="1"/>
  <c r="J14" i="55" s="1"/>
  <c r="I14" i="55" a="1"/>
  <c r="I14" i="55" s="1"/>
  <c r="H14" i="55" a="1"/>
  <c r="H14" i="55" s="1"/>
  <c r="G14" i="55" a="1"/>
  <c r="G14" i="55" s="1"/>
  <c r="T13" i="55" a="1"/>
  <c r="T13" i="55" s="1"/>
  <c r="S13" i="55" a="1"/>
  <c r="S13" i="55" s="1"/>
  <c r="R13" i="55" a="1"/>
  <c r="R13" i="55" s="1"/>
  <c r="Q13" i="55" a="1"/>
  <c r="Q13" i="55" s="1"/>
  <c r="J13" i="55" a="1"/>
  <c r="J13" i="55" s="1"/>
  <c r="I13" i="55" a="1"/>
  <c r="I13" i="55" s="1"/>
  <c r="H13" i="55" a="1"/>
  <c r="H13" i="55" s="1"/>
  <c r="G13" i="55" a="1"/>
  <c r="G13" i="55" s="1"/>
  <c r="T12" i="55" a="1"/>
  <c r="T12" i="55" s="1"/>
  <c r="S12" i="55" a="1"/>
  <c r="S12" i="55" s="1"/>
  <c r="R12" i="55" a="1"/>
  <c r="R12" i="55" s="1"/>
  <c r="Q12" i="55" a="1"/>
  <c r="Q12" i="55" s="1"/>
  <c r="J12" i="55" a="1"/>
  <c r="J12" i="55" s="1"/>
  <c r="I12" i="55" a="1"/>
  <c r="I12" i="55" s="1"/>
  <c r="H12" i="55" a="1"/>
  <c r="H12" i="55" s="1"/>
  <c r="G12" i="55" a="1"/>
  <c r="G12" i="55" s="1"/>
  <c r="T11" i="55" a="1"/>
  <c r="T11" i="55" s="1"/>
  <c r="S11" i="55" a="1"/>
  <c r="S11" i="55" s="1"/>
  <c r="R11" i="55" a="1"/>
  <c r="R11" i="55" s="1"/>
  <c r="Q11" i="55" a="1"/>
  <c r="Q11" i="55" s="1"/>
  <c r="J11" i="55" a="1"/>
  <c r="J11" i="55" s="1"/>
  <c r="I11" i="55" a="1"/>
  <c r="I11" i="55" s="1"/>
  <c r="H11" i="55" a="1"/>
  <c r="H11" i="55" s="1"/>
  <c r="G11" i="55" a="1"/>
  <c r="G11" i="55" s="1"/>
  <c r="P16" i="53"/>
  <c r="R24" i="53"/>
  <c r="B15" i="51" a="1"/>
  <c r="B15" i="51" s="1"/>
  <c r="B17" i="51" a="1"/>
  <c r="B17" i="51" s="1"/>
  <c r="E18" i="51" a="1"/>
  <c r="E18" i="51" s="1"/>
  <c r="C18" i="51" a="1"/>
  <c r="C18" i="51" s="1"/>
  <c r="E17" i="51" a="1"/>
  <c r="E17" i="51" s="1"/>
  <c r="C17" i="51" a="1"/>
  <c r="C17" i="51" s="1"/>
  <c r="E16" i="51" a="1"/>
  <c r="E16" i="51" s="1"/>
  <c r="C16" i="51" a="1"/>
  <c r="C16" i="51" s="1"/>
  <c r="E15" i="51" a="1"/>
  <c r="E15" i="51" s="1"/>
  <c r="C15" i="51" a="1"/>
  <c r="C15" i="51" s="1"/>
  <c r="B12" i="51" a="1"/>
  <c r="B12" i="51" s="1"/>
  <c r="B14" i="51" a="1"/>
  <c r="B14" i="51" s="1"/>
  <c r="E14" i="51" a="1"/>
  <c r="E14" i="51" s="1"/>
  <c r="C14" i="51" a="1"/>
  <c r="C14" i="51" s="1"/>
  <c r="B16" i="51" a="1"/>
  <c r="B16" i="51" s="1"/>
  <c r="B18" i="51" a="1"/>
  <c r="B18" i="51" s="1"/>
  <c r="F18" i="51" a="1"/>
  <c r="F18" i="51" s="1"/>
  <c r="D18" i="51" a="1"/>
  <c r="D18" i="51" s="1"/>
  <c r="F17" i="51" a="1"/>
  <c r="F17" i="51" s="1"/>
  <c r="D17" i="51" a="1"/>
  <c r="D17" i="51" s="1"/>
  <c r="F16" i="51" a="1"/>
  <c r="F16" i="51" s="1"/>
  <c r="D16" i="51" a="1"/>
  <c r="D16" i="51" s="1"/>
  <c r="F15" i="51" a="1"/>
  <c r="F15" i="51" s="1"/>
  <c r="D15" i="51" a="1"/>
  <c r="D15" i="51" s="1"/>
  <c r="K16" i="53" l="1"/>
  <c r="P13" i="53"/>
  <c r="R23" i="53"/>
  <c r="E15" i="60"/>
  <c r="C30" i="53"/>
  <c r="P12" i="53"/>
  <c r="T23" i="53"/>
  <c r="B16" i="56"/>
  <c r="Q28" i="53"/>
  <c r="U13" i="53"/>
  <c r="K15" i="53"/>
  <c r="O37" i="60"/>
  <c r="P17" i="53"/>
  <c r="K12" i="53"/>
  <c r="K25" i="53"/>
  <c r="P27" i="53"/>
  <c r="U14" i="53"/>
  <c r="K17" i="53"/>
  <c r="F13" i="53"/>
  <c r="H44" i="59"/>
  <c r="P24" i="53"/>
  <c r="S23" i="53"/>
  <c r="P23" i="53"/>
  <c r="B66" i="53"/>
  <c r="R66" i="53"/>
  <c r="O44" i="59"/>
  <c r="K13" i="53"/>
  <c r="J56" i="60"/>
  <c r="B18" i="53"/>
  <c r="M22" i="60"/>
  <c r="Q27" i="53"/>
  <c r="K26" i="53"/>
  <c r="F12" i="53"/>
  <c r="C15" i="60"/>
  <c r="F16" i="53"/>
  <c r="Q23" i="53"/>
  <c r="K16" i="59"/>
  <c r="O49" i="60"/>
  <c r="D66" i="53"/>
  <c r="L17" i="59"/>
  <c r="F17" i="53"/>
  <c r="I15" i="60"/>
  <c r="F46" i="60"/>
  <c r="P26" i="53"/>
  <c r="L30" i="53"/>
  <c r="F11" i="53"/>
  <c r="H35" i="59"/>
  <c r="G29" i="60"/>
  <c r="P11" i="53"/>
  <c r="F14" i="53"/>
  <c r="C56" i="60"/>
  <c r="F23" i="59"/>
  <c r="Q24" i="53"/>
  <c r="E22" i="60"/>
  <c r="K14" i="60"/>
  <c r="O22" i="60"/>
  <c r="L44" i="59"/>
  <c r="F27" i="53"/>
  <c r="Q26" i="53"/>
  <c r="B61" i="60"/>
  <c r="Q25" i="53"/>
  <c r="U15" i="53"/>
  <c r="K11" i="53"/>
  <c r="N22" i="60"/>
  <c r="U16" i="53"/>
  <c r="F15" i="53"/>
  <c r="K23" i="53"/>
  <c r="L37" i="60"/>
  <c r="U16" i="59"/>
  <c r="H15" i="60"/>
  <c r="C51" i="59"/>
  <c r="B71" i="60"/>
  <c r="L71" i="60"/>
  <c r="H29" i="60"/>
  <c r="P25" i="53"/>
  <c r="O26" i="59"/>
  <c r="I56" i="60"/>
  <c r="F12" i="56"/>
  <c r="G56" i="60"/>
  <c r="T24" i="59"/>
  <c r="T54" i="60"/>
  <c r="F37" i="60"/>
  <c r="P15" i="59"/>
  <c r="K46" i="60"/>
  <c r="F71" i="60"/>
  <c r="C49" i="60"/>
  <c r="E51" i="59"/>
  <c r="R24" i="59"/>
  <c r="M49" i="60"/>
  <c r="C16" i="56"/>
  <c r="F20" i="60"/>
  <c r="P20" i="60"/>
  <c r="F22" i="59"/>
  <c r="F24" i="59"/>
  <c r="U11" i="53"/>
  <c r="K14" i="53"/>
  <c r="T23" i="59"/>
  <c r="U12" i="60"/>
  <c r="P19" i="60"/>
  <c r="E17" i="59"/>
  <c r="R19" i="60"/>
  <c r="K13" i="59"/>
  <c r="F56" i="55"/>
  <c r="I17" i="59"/>
  <c r="F53" i="60"/>
  <c r="L22" i="60"/>
  <c r="N17" i="59"/>
  <c r="G26" i="59"/>
  <c r="B30" i="53"/>
  <c r="D49" i="60"/>
  <c r="R54" i="60"/>
  <c r="H63" i="60"/>
  <c r="F13" i="56"/>
  <c r="U46" i="60"/>
  <c r="K47" i="60"/>
  <c r="F29" i="60"/>
  <c r="K42" i="53"/>
  <c r="Q54" i="60"/>
  <c r="P47" i="60"/>
  <c r="K13" i="60"/>
  <c r="H22" i="60"/>
  <c r="Q21" i="60"/>
  <c r="H37" i="60"/>
  <c r="I26" i="59"/>
  <c r="Q24" i="59"/>
  <c r="P16" i="59"/>
  <c r="Q55" i="60"/>
  <c r="Q29" i="53"/>
  <c r="Q15" i="60"/>
  <c r="K24" i="59"/>
  <c r="P21" i="60"/>
  <c r="C26" i="56"/>
  <c r="P15" i="53"/>
  <c r="D46" i="55"/>
  <c r="P14" i="53"/>
  <c r="K19" i="60"/>
  <c r="K21" i="60"/>
  <c r="B60" i="60"/>
  <c r="R23" i="59"/>
  <c r="F44" i="59"/>
  <c r="B62" i="60"/>
  <c r="M26" i="59"/>
  <c r="F15" i="59"/>
  <c r="L49" i="60"/>
  <c r="H56" i="60"/>
  <c r="G49" i="60"/>
  <c r="Q23" i="59"/>
  <c r="P54" i="60"/>
  <c r="E44" i="59"/>
  <c r="O71" i="60"/>
  <c r="K54" i="60"/>
  <c r="B56" i="55"/>
  <c r="G63" i="60"/>
  <c r="T19" i="60"/>
  <c r="T55" i="60"/>
  <c r="L56" i="56"/>
  <c r="D22" i="60"/>
  <c r="F14" i="59"/>
  <c r="F54" i="60"/>
  <c r="P13" i="59"/>
  <c r="K25" i="59"/>
  <c r="D16" i="56"/>
  <c r="F21" i="60"/>
  <c r="I36" i="56"/>
  <c r="W16" i="56"/>
  <c r="T49" i="60"/>
  <c r="P46" i="60"/>
  <c r="M17" i="59"/>
  <c r="B17" i="59"/>
  <c r="K14" i="59"/>
  <c r="E26" i="59"/>
  <c r="F25" i="59"/>
  <c r="F15" i="56"/>
  <c r="L29" i="60"/>
  <c r="N56" i="55"/>
  <c r="N54" i="53"/>
  <c r="E46" i="55"/>
  <c r="S16" i="55"/>
  <c r="Y16" i="56"/>
  <c r="J26" i="56"/>
  <c r="R22" i="59"/>
  <c r="F49" i="59"/>
  <c r="F48" i="60"/>
  <c r="C17" i="59"/>
  <c r="K20" i="60"/>
  <c r="L15" i="60"/>
  <c r="P23" i="59"/>
  <c r="F13" i="60"/>
  <c r="K23" i="59"/>
  <c r="T20" i="60"/>
  <c r="N15" i="60"/>
  <c r="P12" i="60"/>
  <c r="K53" i="60"/>
  <c r="S54" i="60"/>
  <c r="N37" i="60"/>
  <c r="C46" i="55"/>
  <c r="K46" i="55"/>
  <c r="G22" i="60"/>
  <c r="S15" i="60"/>
  <c r="P22" i="59"/>
  <c r="S17" i="59"/>
  <c r="P24" i="59"/>
  <c r="R20" i="60"/>
  <c r="L56" i="60"/>
  <c r="S19" i="60"/>
  <c r="B22" i="60"/>
  <c r="R55" i="60"/>
  <c r="U14" i="60"/>
  <c r="U47" i="60"/>
  <c r="D37" i="60"/>
  <c r="D44" i="59"/>
  <c r="K22" i="59"/>
  <c r="E46" i="56"/>
  <c r="P25" i="55"/>
  <c r="J26" i="55"/>
  <c r="F19" i="60"/>
  <c r="P55" i="60"/>
  <c r="S24" i="59"/>
  <c r="R21" i="60"/>
  <c r="D26" i="59"/>
  <c r="D29" i="60"/>
  <c r="U48" i="60"/>
  <c r="S22" i="59"/>
  <c r="U13" i="59"/>
  <c r="B15" i="60"/>
  <c r="M37" i="60"/>
  <c r="E26" i="56"/>
  <c r="Q20" i="60"/>
  <c r="N49" i="60"/>
  <c r="F47" i="60"/>
  <c r="L56" i="55"/>
  <c r="F11" i="56"/>
  <c r="U15" i="59"/>
  <c r="T21" i="60"/>
  <c r="U14" i="59"/>
  <c r="H17" i="59"/>
  <c r="N26" i="56"/>
  <c r="S23" i="59"/>
  <c r="M15" i="60"/>
  <c r="U13" i="60"/>
  <c r="J56" i="55"/>
  <c r="M56" i="60"/>
  <c r="K55" i="60"/>
  <c r="R25" i="59"/>
  <c r="Q19" i="60"/>
  <c r="Q53" i="60"/>
  <c r="H71" i="60"/>
  <c r="F50" i="59"/>
  <c r="F14" i="60"/>
  <c r="J35" i="59"/>
  <c r="B56" i="56"/>
  <c r="D56" i="56"/>
  <c r="B54" i="53"/>
  <c r="G17" i="59"/>
  <c r="S21" i="60"/>
  <c r="K37" i="60"/>
  <c r="J44" i="59"/>
  <c r="F35" i="59"/>
  <c r="E54" i="53"/>
  <c r="L42" i="53"/>
  <c r="F46" i="55"/>
  <c r="C46" i="56"/>
  <c r="F36" i="56"/>
  <c r="F46" i="56"/>
  <c r="F66" i="53"/>
  <c r="Q25" i="59"/>
  <c r="E56" i="60"/>
  <c r="R49" i="60"/>
  <c r="I42" i="53"/>
  <c r="G46" i="55"/>
  <c r="C54" i="53"/>
  <c r="Q49" i="60"/>
  <c r="Q17" i="59"/>
  <c r="F12" i="60"/>
  <c r="H49" i="60"/>
  <c r="R17" i="59"/>
  <c r="I44" i="59"/>
  <c r="I54" i="53"/>
  <c r="N46" i="55"/>
  <c r="D36" i="56"/>
  <c r="H56" i="55"/>
  <c r="P56" i="55"/>
  <c r="N56" i="56"/>
  <c r="P14" i="59"/>
  <c r="J26" i="59"/>
  <c r="B51" i="59"/>
  <c r="J49" i="60"/>
  <c r="J37" i="60"/>
  <c r="M44" i="59"/>
  <c r="M46" i="56"/>
  <c r="R56" i="55"/>
  <c r="H26" i="56"/>
  <c r="R56" i="56"/>
  <c r="B44" i="59"/>
  <c r="R53" i="60"/>
  <c r="F54" i="53"/>
  <c r="K15" i="59"/>
  <c r="P53" i="60"/>
  <c r="S25" i="59"/>
  <c r="K29" i="60"/>
  <c r="E37" i="60"/>
  <c r="L35" i="59"/>
  <c r="E35" i="59"/>
  <c r="D54" i="53"/>
  <c r="G44" i="59"/>
  <c r="J54" i="53"/>
  <c r="J46" i="56"/>
  <c r="I37" i="60"/>
  <c r="D46" i="56"/>
  <c r="D15" i="60"/>
  <c r="N26" i="59"/>
  <c r="E29" i="60"/>
  <c r="K35" i="59"/>
  <c r="J42" i="53"/>
  <c r="J29" i="60"/>
  <c r="K36" i="56"/>
  <c r="T22" i="59"/>
  <c r="D35" i="59"/>
  <c r="O54" i="53"/>
  <c r="D17" i="59"/>
  <c r="F16" i="59"/>
  <c r="P13" i="60"/>
  <c r="J46" i="55"/>
  <c r="K46" i="56"/>
  <c r="X16" i="56"/>
  <c r="P25" i="59"/>
  <c r="R15" i="60"/>
  <c r="I29" i="60"/>
  <c r="C37" i="60"/>
  <c r="I35" i="59"/>
  <c r="F42" i="53"/>
  <c r="L36" i="56"/>
  <c r="I26" i="55"/>
  <c r="P56" i="56"/>
  <c r="G42" i="53"/>
  <c r="B37" i="60"/>
  <c r="C44" i="59"/>
  <c r="G37" i="60"/>
  <c r="E42" i="53"/>
  <c r="D42" i="53"/>
  <c r="N46" i="56"/>
  <c r="J36" i="56"/>
  <c r="Q21" i="55"/>
  <c r="K12" i="60"/>
  <c r="F14" i="56"/>
  <c r="Q22" i="59"/>
  <c r="O17" i="59"/>
  <c r="H26" i="55"/>
  <c r="R22" i="56"/>
  <c r="G15" i="60"/>
  <c r="S55" i="60"/>
  <c r="E16" i="56"/>
  <c r="E36" i="56"/>
  <c r="J15" i="60"/>
  <c r="K44" i="59"/>
  <c r="N44" i="59"/>
  <c r="M54" i="53"/>
  <c r="G54" i="53"/>
  <c r="M46" i="55"/>
  <c r="G46" i="56"/>
  <c r="K54" i="53"/>
  <c r="I46" i="56"/>
  <c r="T21" i="56"/>
  <c r="S20" i="60"/>
  <c r="R21" i="56"/>
  <c r="I46" i="55"/>
  <c r="C35" i="59"/>
  <c r="G35" i="59"/>
  <c r="C42" i="53"/>
  <c r="Q6" i="63"/>
  <c r="E43" i="39"/>
  <c r="H56" i="56"/>
  <c r="D51" i="59"/>
  <c r="I22" i="60"/>
  <c r="L26" i="59"/>
  <c r="C63" i="60"/>
  <c r="C29" i="60"/>
  <c r="N56" i="60"/>
  <c r="R16" i="55"/>
  <c r="J56" i="56"/>
  <c r="K66" i="53"/>
  <c r="B35" i="59"/>
  <c r="O15" i="60"/>
  <c r="D56" i="60"/>
  <c r="I26" i="56"/>
  <c r="B46" i="56"/>
  <c r="M66" i="53"/>
  <c r="T53" i="60"/>
  <c r="J17" i="59"/>
  <c r="B56" i="60"/>
  <c r="P14" i="60"/>
  <c r="L46" i="56"/>
  <c r="S49" i="60"/>
  <c r="O56" i="60"/>
  <c r="K48" i="60"/>
  <c r="C26" i="59"/>
  <c r="I49" i="60"/>
  <c r="S53" i="60"/>
  <c r="M26" i="56"/>
  <c r="F55" i="60"/>
  <c r="B26" i="59"/>
  <c r="T25" i="59"/>
  <c r="D19" i="51"/>
  <c r="H16" i="55"/>
  <c r="O26" i="56"/>
  <c r="H66" i="53"/>
  <c r="I16" i="55"/>
  <c r="C66" i="53"/>
  <c r="J66" i="53"/>
  <c r="P48" i="60"/>
  <c r="B49" i="60"/>
  <c r="E49" i="60"/>
  <c r="T17" i="59"/>
  <c r="E19" i="51"/>
  <c r="F56" i="56"/>
  <c r="G66" i="53"/>
  <c r="F13" i="59"/>
  <c r="T16" i="55"/>
  <c r="O26" i="55"/>
  <c r="B29" i="60"/>
  <c r="L46" i="55"/>
  <c r="R23" i="56"/>
  <c r="R24" i="56"/>
  <c r="R25" i="56"/>
  <c r="O66" i="53"/>
  <c r="L66" i="53"/>
  <c r="Q66" i="53"/>
  <c r="N66" i="53"/>
  <c r="B46" i="55"/>
  <c r="J16" i="55"/>
  <c r="S23" i="56"/>
  <c r="S24" i="56"/>
  <c r="S25" i="56"/>
  <c r="P66" i="53"/>
  <c r="D26" i="55"/>
  <c r="T22" i="56"/>
  <c r="T23" i="56"/>
  <c r="T24" i="56"/>
  <c r="T25" i="56"/>
  <c r="D26" i="56"/>
  <c r="F19" i="51"/>
  <c r="E66" i="53"/>
  <c r="I66" i="53"/>
  <c r="D56" i="55"/>
  <c r="M26" i="55"/>
  <c r="Z11" i="56"/>
  <c r="P12" i="56"/>
  <c r="H36" i="56"/>
  <c r="U11" i="56"/>
  <c r="P11" i="56"/>
  <c r="Z12" i="56"/>
  <c r="P13" i="56"/>
  <c r="Z13" i="56"/>
  <c r="P14" i="56"/>
  <c r="Z14" i="56"/>
  <c r="P15" i="56"/>
  <c r="Z15" i="56"/>
  <c r="K21" i="56"/>
  <c r="K22" i="56"/>
  <c r="K23" i="56"/>
  <c r="K24" i="56"/>
  <c r="K25" i="56"/>
  <c r="P25" i="56"/>
  <c r="N30" i="53"/>
  <c r="I30" i="53"/>
  <c r="D30" i="53"/>
  <c r="S18" i="53"/>
  <c r="N18" i="53"/>
  <c r="I18" i="53"/>
  <c r="S29" i="53"/>
  <c r="S28" i="53"/>
  <c r="S27" i="53"/>
  <c r="S26" i="53"/>
  <c r="S25" i="53"/>
  <c r="S24" i="53"/>
  <c r="D18" i="53"/>
  <c r="L54" i="53"/>
  <c r="M30" i="53"/>
  <c r="H30" i="53"/>
  <c r="R18" i="53"/>
  <c r="M18" i="53"/>
  <c r="H18" i="53"/>
  <c r="R29" i="53"/>
  <c r="R28" i="53"/>
  <c r="R27" i="53"/>
  <c r="R26" i="53"/>
  <c r="R25" i="53"/>
  <c r="C18" i="53"/>
  <c r="P11" i="55"/>
  <c r="P12" i="55"/>
  <c r="P13" i="55"/>
  <c r="P14" i="55"/>
  <c r="P15" i="55"/>
  <c r="K21" i="55"/>
  <c r="K22" i="55"/>
  <c r="K23" i="55"/>
  <c r="K24" i="55"/>
  <c r="K25" i="55"/>
  <c r="H36" i="55"/>
  <c r="F21" i="56"/>
  <c r="F23" i="56"/>
  <c r="F24" i="56"/>
  <c r="G36" i="56"/>
  <c r="P29" i="53"/>
  <c r="P28" i="53"/>
  <c r="K29" i="53"/>
  <c r="K28" i="53"/>
  <c r="K27" i="53"/>
  <c r="K24" i="53"/>
  <c r="G30" i="53"/>
  <c r="F29" i="53"/>
  <c r="F28" i="53"/>
  <c r="F26" i="53"/>
  <c r="F25" i="53"/>
  <c r="F24" i="53"/>
  <c r="F23" i="53"/>
  <c r="U17" i="53"/>
  <c r="U12" i="53"/>
  <c r="Q18" i="53"/>
  <c r="L18" i="53"/>
  <c r="G18" i="53"/>
  <c r="H54" i="53"/>
  <c r="O30" i="53"/>
  <c r="J30" i="53"/>
  <c r="E30" i="53"/>
  <c r="T18" i="53"/>
  <c r="O18" i="53"/>
  <c r="J18" i="53"/>
  <c r="T29" i="53"/>
  <c r="T28" i="53"/>
  <c r="T27" i="53"/>
  <c r="T26" i="53"/>
  <c r="T25" i="53"/>
  <c r="T24" i="53"/>
  <c r="E18" i="53"/>
  <c r="R16" i="57"/>
  <c r="H38" i="39" s="1"/>
  <c r="J38" i="39" s="1"/>
  <c r="K38" i="39" s="1"/>
  <c r="F11" i="57"/>
  <c r="U11" i="57"/>
  <c r="K11" i="57"/>
  <c r="K16" i="57"/>
  <c r="T16" i="57"/>
  <c r="F16" i="57"/>
  <c r="P16" i="57"/>
  <c r="P11" i="57"/>
  <c r="S16" i="57"/>
  <c r="Q16" i="57"/>
  <c r="H37" i="39" s="1"/>
  <c r="J37" i="39" s="1"/>
  <c r="K37" i="39" s="1"/>
  <c r="U15" i="56"/>
  <c r="F22" i="56"/>
  <c r="F25" i="56"/>
  <c r="S22" i="56"/>
  <c r="V16" i="56"/>
  <c r="N16" i="56"/>
  <c r="L16" i="56"/>
  <c r="U12" i="56"/>
  <c r="Q23" i="56"/>
  <c r="K13" i="56"/>
  <c r="U13" i="56"/>
  <c r="Q24" i="56"/>
  <c r="K14" i="56"/>
  <c r="U14" i="56"/>
  <c r="Q25" i="56"/>
  <c r="K15" i="56"/>
  <c r="B26" i="56"/>
  <c r="L26" i="56"/>
  <c r="C56" i="56"/>
  <c r="G56" i="56"/>
  <c r="K56" i="56"/>
  <c r="O56" i="56"/>
  <c r="S21" i="56"/>
  <c r="T16" i="56"/>
  <c r="R16" i="56"/>
  <c r="J16" i="56"/>
  <c r="H16" i="56"/>
  <c r="O16" i="56"/>
  <c r="M16" i="56"/>
  <c r="G26" i="56"/>
  <c r="P21" i="56"/>
  <c r="P22" i="56"/>
  <c r="P23" i="56"/>
  <c r="P24" i="56"/>
  <c r="C36" i="56"/>
  <c r="H46" i="56"/>
  <c r="O46" i="56"/>
  <c r="E56" i="56"/>
  <c r="I56" i="56"/>
  <c r="M56" i="56"/>
  <c r="Q56" i="56"/>
  <c r="Q22" i="56"/>
  <c r="K12" i="56"/>
  <c r="Q21" i="56"/>
  <c r="K11" i="56"/>
  <c r="S16" i="56"/>
  <c r="Q16" i="56"/>
  <c r="I16" i="56"/>
  <c r="G16" i="56"/>
  <c r="K11" i="55"/>
  <c r="U11" i="55"/>
  <c r="K12" i="55"/>
  <c r="F11" i="55"/>
  <c r="S21" i="55"/>
  <c r="Q22" i="55"/>
  <c r="F12" i="55"/>
  <c r="S22" i="55"/>
  <c r="Q23" i="55"/>
  <c r="F13" i="55"/>
  <c r="S23" i="55"/>
  <c r="Q24" i="55"/>
  <c r="F14" i="55"/>
  <c r="S24" i="55"/>
  <c r="Q25" i="55"/>
  <c r="F15" i="55"/>
  <c r="S25" i="55"/>
  <c r="B26" i="55"/>
  <c r="L26" i="55"/>
  <c r="N26" i="55"/>
  <c r="F21" i="55"/>
  <c r="F22" i="55"/>
  <c r="F23" i="55"/>
  <c r="F24" i="55"/>
  <c r="F25" i="55"/>
  <c r="C36" i="55"/>
  <c r="C56" i="55"/>
  <c r="G56" i="55"/>
  <c r="K56" i="55"/>
  <c r="O56" i="55"/>
  <c r="O16" i="55"/>
  <c r="M16" i="55"/>
  <c r="E16" i="55"/>
  <c r="C16" i="55"/>
  <c r="Q16" i="55"/>
  <c r="G16" i="55"/>
  <c r="U12" i="55"/>
  <c r="K13" i="55"/>
  <c r="U13" i="55"/>
  <c r="K14" i="55"/>
  <c r="U14" i="55"/>
  <c r="K15" i="55"/>
  <c r="U15" i="55"/>
  <c r="G26" i="55"/>
  <c r="P21" i="55"/>
  <c r="P22" i="55"/>
  <c r="P23" i="55"/>
  <c r="P24" i="55"/>
  <c r="R21" i="55"/>
  <c r="T21" i="55"/>
  <c r="R22" i="55"/>
  <c r="T22" i="55"/>
  <c r="R23" i="55"/>
  <c r="T23" i="55"/>
  <c r="R24" i="55"/>
  <c r="T24" i="55"/>
  <c r="R25" i="55"/>
  <c r="T25" i="55"/>
  <c r="C26" i="55"/>
  <c r="E26" i="55"/>
  <c r="G36" i="55"/>
  <c r="H46" i="55"/>
  <c r="O46" i="55"/>
  <c r="E56" i="55"/>
  <c r="I56" i="55"/>
  <c r="M56" i="55"/>
  <c r="Q56" i="55"/>
  <c r="N16" i="55"/>
  <c r="L16" i="55"/>
  <c r="D16" i="55"/>
  <c r="B16" i="55"/>
  <c r="C19" i="51"/>
  <c r="B19" i="51"/>
  <c r="U15" i="60" l="1"/>
  <c r="P56" i="60"/>
  <c r="U25" i="53"/>
  <c r="F18" i="53"/>
  <c r="K18" i="53"/>
  <c r="U54" i="60"/>
  <c r="F26" i="59"/>
  <c r="K49" i="60"/>
  <c r="P49" i="60"/>
  <c r="K15" i="60"/>
  <c r="F22" i="60"/>
  <c r="U23" i="53"/>
  <c r="U24" i="59"/>
  <c r="P22" i="60"/>
  <c r="P18" i="53"/>
  <c r="S56" i="60"/>
  <c r="U49" i="60"/>
  <c r="U55" i="60"/>
  <c r="K17" i="59"/>
  <c r="K56" i="60"/>
  <c r="R56" i="60"/>
  <c r="U27" i="53"/>
  <c r="F49" i="60"/>
  <c r="B63" i="60"/>
  <c r="K26" i="59"/>
  <c r="K22" i="60"/>
  <c r="F56" i="60"/>
  <c r="Q56" i="60"/>
  <c r="U17" i="59"/>
  <c r="F15" i="60"/>
  <c r="F17" i="59"/>
  <c r="S22" i="60"/>
  <c r="U26" i="53"/>
  <c r="T56" i="60"/>
  <c r="U25" i="59"/>
  <c r="F51" i="59"/>
  <c r="P26" i="59"/>
  <c r="U23" i="59"/>
  <c r="S26" i="59"/>
  <c r="R26" i="59"/>
  <c r="P17" i="59"/>
  <c r="U21" i="60"/>
  <c r="F16" i="56"/>
  <c r="R22" i="60"/>
  <c r="U20" i="60"/>
  <c r="Q22" i="60"/>
  <c r="U19" i="60"/>
  <c r="Q26" i="59"/>
  <c r="U22" i="59"/>
  <c r="T26" i="59"/>
  <c r="T22" i="60"/>
  <c r="U53" i="60"/>
  <c r="P15" i="60"/>
  <c r="K30" i="53"/>
  <c r="S26" i="56"/>
  <c r="U16" i="56"/>
  <c r="F26" i="56"/>
  <c r="U25" i="56"/>
  <c r="Z16" i="56"/>
  <c r="Q30" i="53"/>
  <c r="S48" i="29" s="1"/>
  <c r="U48" i="29" s="1"/>
  <c r="V48" i="29" s="1"/>
  <c r="U29" i="53"/>
  <c r="U24" i="53"/>
  <c r="P30" i="53"/>
  <c r="K26" i="56"/>
  <c r="U28" i="53"/>
  <c r="R30" i="53"/>
  <c r="S49" i="29" s="1"/>
  <c r="U49" i="29" s="1"/>
  <c r="V49" i="29" s="1"/>
  <c r="U18" i="53"/>
  <c r="P16" i="55"/>
  <c r="Q26" i="56"/>
  <c r="U21" i="56"/>
  <c r="U22" i="56"/>
  <c r="B36" i="56"/>
  <c r="P16" i="56"/>
  <c r="T30" i="53"/>
  <c r="F30" i="53"/>
  <c r="B42" i="53"/>
  <c r="S30" i="53"/>
  <c r="U16" i="57"/>
  <c r="H36" i="39" s="1"/>
  <c r="J36" i="39" s="1"/>
  <c r="K36" i="39" s="1"/>
  <c r="R26" i="56"/>
  <c r="U24" i="56"/>
  <c r="K16" i="56"/>
  <c r="T26" i="56"/>
  <c r="P26" i="56"/>
  <c r="U23" i="56"/>
  <c r="Q26" i="55"/>
  <c r="S45" i="30" s="1"/>
  <c r="U45" i="30" s="1"/>
  <c r="V45" i="30" s="1"/>
  <c r="K26" i="55"/>
  <c r="F16" i="55"/>
  <c r="S26" i="55"/>
  <c r="K16" i="55"/>
  <c r="U16" i="55"/>
  <c r="R26" i="55"/>
  <c r="S46" i="30" s="1"/>
  <c r="U46" i="30" s="1"/>
  <c r="V46" i="30" s="1"/>
  <c r="T26" i="55"/>
  <c r="U25" i="55"/>
  <c r="U23" i="55"/>
  <c r="U21" i="55"/>
  <c r="B36" i="55"/>
  <c r="P26" i="55"/>
  <c r="F26" i="55"/>
  <c r="U24" i="55"/>
  <c r="U22" i="55"/>
  <c r="U22" i="60" l="1"/>
  <c r="U26" i="59"/>
  <c r="U56" i="60"/>
  <c r="U30" i="53"/>
  <c r="S47" i="29" s="1"/>
  <c r="U47" i="29" s="1"/>
  <c r="V47" i="29" s="1"/>
  <c r="U43" i="37"/>
  <c r="W43" i="37" s="1"/>
  <c r="X43" i="37" s="1"/>
  <c r="U44" i="37"/>
  <c r="W44" i="37" s="1"/>
  <c r="X44" i="37" s="1"/>
  <c r="U26" i="56"/>
  <c r="U26" i="55"/>
  <c r="S44" i="30" s="1"/>
  <c r="U44" i="30" s="1"/>
  <c r="V44" i="30" s="1"/>
  <c r="U42" i="37" l="1"/>
  <c r="W42" i="37" s="1"/>
  <c r="X42" i="37" s="1"/>
  <c r="B47" i="29"/>
  <c r="A11" i="28"/>
  <c r="C250" i="28"/>
  <c r="L47" i="29" l="1"/>
  <c r="L48" i="29"/>
  <c r="L49" i="29"/>
  <c r="L50" i="29"/>
  <c r="L51" i="29"/>
  <c r="L52" i="29"/>
  <c r="L53" i="29"/>
  <c r="L54" i="29" l="1"/>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H37" i="42" l="1"/>
  <c r="B71" i="42"/>
  <c r="B29" i="42"/>
  <c r="H29" i="42"/>
  <c r="L37" i="42"/>
  <c r="B37" i="42"/>
  <c r="L71" i="42"/>
  <c r="H71" i="42"/>
  <c r="B63" i="42"/>
  <c r="H63" i="42"/>
  <c r="L44" i="41"/>
  <c r="H44" i="41"/>
  <c r="B44" i="41"/>
  <c r="B35" i="41"/>
  <c r="H35" i="41"/>
  <c r="U23" i="41" l="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B54" i="29" l="1"/>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<sst xmlns="http://schemas.openxmlformats.org/spreadsheetml/2006/main" count="1985" uniqueCount="587">
  <si>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</si>
  <si>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</si>
  <si>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</si>
  <si>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</si>
  <si>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</si>
  <si>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</si>
  <si>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</si>
  <si>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</si>
  <si>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</si>
  <si>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</si>
  <si>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</si>
  <si>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</si>
  <si>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</si>
  <si>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</si>
  <si>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</si>
  <si>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</si>
  <si>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</si>
  <si>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</si>
  <si>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</si>
  <si>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</si>
  <si>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</si>
  <si>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</si>
  <si>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</si>
  <si>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</si>
  <si>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</si>
  <si>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</si>
  <si>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</si>
  <si>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</si>
  <si>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</si>
  <si>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</si>
  <si>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</si>
  <si>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</si>
  <si>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</si>
  <si>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</si>
  <si>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</si>
  <si>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</si>
  <si>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</si>
  <si>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</si>
  <si>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</si>
  <si>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</si>
  <si>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</si>
  <si>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</si>
  <si>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</si>
  <si>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</si>
  <si>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</si>
  <si>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</si>
  <si>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</si>
  <si>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</si>
  <si>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</si>
  <si>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</si>
  <si>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</si>
  <si>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</si>
  <si>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</si>
  <si>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</si>
  <si>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</si>
  <si>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</si>
  <si>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</si>
  <si>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</si>
  <si>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</si>
  <si>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</si>
  <si>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</si>
  <si>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</si>
  <si>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</si>
  <si>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</si>
  <si>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</si>
  <si>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</si>
  <si>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</si>
  <si>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</si>
  <si>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</si>
  <si>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</si>
  <si>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</si>
  <si>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</si>
  <si>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</si>
  <si>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</si>
  <si>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</si>
  <si>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</si>
  <si>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</si>
  <si>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</si>
  <si>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</si>
  <si>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</si>
  <si>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</si>
  <si>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</si>
  <si>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</si>
  <si>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</si>
  <si>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</si>
  <si>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</si>
  <si>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</si>
  <si>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</si>
  <si>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</si>
  <si>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</si>
  <si>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</si>
  <si>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</si>
  <si>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</si>
  <si>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</si>
  <si>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</si>
  <si>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</si>
  <si>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</si>
  <si>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</si>
  <si>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</si>
  <si>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</si>
  <si>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</si>
  <si>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</si>
  <si>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</si>
  <si>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</si>
  <si>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</si>
  <si>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</si>
  <si>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</si>
  <si>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</si>
  <si>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</si>
  <si>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</si>
  <si>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</si>
  <si>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</si>
  <si>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</si>
  <si>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</si>
  <si>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</si>
  <si>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</si>
  <si>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</si>
  <si>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</si>
  <si>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</si>
  <si>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</si>
  <si>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</si>
  <si>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</si>
  <si>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</si>
  <si>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</si>
  <si>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</si>
  <si>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</si>
  <si>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</si>
  <si>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</si>
  <si>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</si>
  <si>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</si>
  <si>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</si>
  <si>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</si>
  <si>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</si>
  <si>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</si>
  <si>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</si>
  <si>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</si>
  <si>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</si>
  <si>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</si>
  <si>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</si>
  <si>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</si>
  <si>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</si>
  <si>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</si>
  <si>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</si>
  <si>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</si>
  <si>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</si>
  <si>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</si>
  <si>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</si>
  <si>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</si>
  <si>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</si>
  <si>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</si>
  <si>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</si>
  <si>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</si>
  <si>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</si>
  <si>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</si>
  <si>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</si>
  <si>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</si>
  <si>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</si>
  <si>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</si>
  <si>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</si>
  <si>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</si>
  <si>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</si>
  <si>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</si>
  <si>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</si>
  <si>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</si>
  <si>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</si>
  <si>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</si>
  <si>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</si>
  <si>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</si>
  <si>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</si>
  <si>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</si>
  <si>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</si>
  <si>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</si>
  <si>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</si>
  <si>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</si>
  <si>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</si>
  <si>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</si>
  <si>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</si>
  <si>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</si>
  <si>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</si>
  <si>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</si>
  <si>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</si>
  <si>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</si>
  <si>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</si>
  <si>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</si>
  <si>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</si>
  <si>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</si>
  <si>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</si>
  <si>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</si>
  <si>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</si>
  <si>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</si>
  <si>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</si>
  <si>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</si>
  <si>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</si>
  <si>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</si>
  <si>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</si>
  <si>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</si>
  <si>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</si>
  <si>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</si>
  <si>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</si>
  <si>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</si>
  <si>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</si>
  <si>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</si>
  <si>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</si>
  <si>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</si>
  <si>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</si>
  <si>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</si>
  <si>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</si>
  <si>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</si>
  <si>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</si>
  <si>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</si>
  <si>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</si>
  <si>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</si>
  <si>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</si>
  <si>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</si>
  <si>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</si>
  <si>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</si>
  <si>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</si>
  <si>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</si>
  <si>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</si>
  <si>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</si>
  <si>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</si>
  <si>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</si>
  <si>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</si>
  <si>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</si>
  <si>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</si>
  <si>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</si>
  <si>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</si>
  <si>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</si>
  <si>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</si>
  <si>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</si>
  <si>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</si>
  <si>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</si>
  <si>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</si>
  <si>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</si>
  <si>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</si>
  <si>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</si>
  <si>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</si>
  <si>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</si>
  <si>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</si>
  <si>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</si>
  <si>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</si>
  <si>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</si>
  <si>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</si>
  <si>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</si>
  <si>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</si>
  <si>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</si>
  <si>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</si>
  <si>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</si>
  <si>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</si>
  <si>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</si>
  <si>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</si>
  <si>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</si>
  <si>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</si>
  <si>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</si>
  <si>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</si>
  <si>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</si>
  <si>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</si>
  <si>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</si>
  <si>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</si>
  <si>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</si>
  <si>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</si>
  <si>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</si>
  <si>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</si>
  <si>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</si>
  <si>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</si>
  <si>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</si>
  <si>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</si>
  <si>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</si>
  <si>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</si>
  <si>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</si>
  <si>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</si>
  <si>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</si>
  <si>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</si>
  <si>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</si>
  <si>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</si>
  <si>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</si>
  <si>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</si>
  <si>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</si>
  <si>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</si>
  <si>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</si>
  <si>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</si>
  <si>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</si>
  <si>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</si>
  <si>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</si>
  <si>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</si>
  <si>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</si>
  <si>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</si>
  <si>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</si>
  <si>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</si>
  <si>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</si>
  <si>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</si>
  <si>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</si>
  <si>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</si>
  <si>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</si>
  <si>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</si>
  <si>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</si>
  <si>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</si>
  <si>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</si>
  <si>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</si>
  <si>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</si>
  <si>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</si>
  <si>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</si>
  <si>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</si>
  <si>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</si>
  <si>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</si>
  <si>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</si>
  <si>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</si>
  <si>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</si>
  <si>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</si>
  <si>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</si>
  <si>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</si>
  <si>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</si>
  <si>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</si>
  <si>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</si>
  <si>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</si>
  <si>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</si>
  <si>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</si>
  <si>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</si>
  <si>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</si>
  <si>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</si>
  <si>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</si>
  <si>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</si>
  <si>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</si>
  <si>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</si>
  <si>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</si>
  <si>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</si>
  <si>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</si>
  <si>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</si>
  <si>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</si>
  <si>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</si>
  <si>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</si>
  <si>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</si>
  <si>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</si>
  <si>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</si>
  <si>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</si>
  <si>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</si>
  <si>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</si>
  <si>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</si>
  <si>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</si>
  <si>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</si>
  <si>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</si>
  <si>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</si>
  <si>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</si>
  <si>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</si>
  <si>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</si>
  <si>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</si>
  <si>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</si>
  <si>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</si>
  <si>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</si>
  <si>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</si>
  <si>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</si>
  <si>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</si>
  <si>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</si>
  <si>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</si>
  <si>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</si>
  <si>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</si>
  <si>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</si>
  <si>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</si>
  <si>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</si>
  <si>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</si>
  <si>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</si>
  <si>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</si>
  <si>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</si>
  <si>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</si>
  <si>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</si>
  <si>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</si>
  <si>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</si>
  <si>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</si>
  <si>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</si>
  <si>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</si>
  <si>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</si>
  <si>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</si>
  <si>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</si>
  <si>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</si>
  <si>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</si>
  <si>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</si>
  <si>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</si>
  <si>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</si>
  <si>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</si>
  <si>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</si>
  <si>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</si>
  <si>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</si>
  <si>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</si>
  <si>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</si>
  <si>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</si>
  <si>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</si>
  <si>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</si>
  <si>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</si>
  <si>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</si>
  <si>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</si>
  <si>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</si>
  <si>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</si>
  <si>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</si>
  <si>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</si>
  <si>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</si>
  <si>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</si>
  <si>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</si>
  <si>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</si>
  <si>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</si>
  <si>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</si>
  <si>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</si>
  <si>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</si>
  <si>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</si>
  <si>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</si>
  <si>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</si>
  <si>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</si>
  <si>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</si>
  <si>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</si>
  <si>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</si>
  <si>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</si>
  <si>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</si>
  <si>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</si>
  <si>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</si>
  <si>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</si>
  <si>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</si>
  <si>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</si>
  <si>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</si>
  <si>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</si>
  <si>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</si>
  <si>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</si>
  <si>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</si>
  <si>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</si>
  <si>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</si>
  <si>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</si>
  <si>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</si>
  <si>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</si>
  <si>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</si>
  <si>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</si>
  <si>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</si>
  <si>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</si>
  <si>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</si>
  <si>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</si>
  <si>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</si>
  <si>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</si>
  <si>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</si>
  <si>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</si>
  <si>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</si>
  <si>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</si>
  <si>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</si>
  <si>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</si>
  <si>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</si>
  <si>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</si>
  <si>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</si>
  <si>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</si>
  <si>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</si>
  <si>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</si>
  <si>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</si>
  <si>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</si>
  <si>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</si>
  <si>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</si>
  <si>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</si>
  <si>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</si>
  <si>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</si>
  <si>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</si>
  <si>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</si>
  <si>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</si>
  <si>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</si>
  <si>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</si>
  <si>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</si>
  <si>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</si>
  <si>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</si>
  <si>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</si>
  <si>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</si>
  <si>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</si>
  <si>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</si>
  <si>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</si>
  <si>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</si>
  <si>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</si>
  <si>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</si>
  <si>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</si>
  <si>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</si>
  <si>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</si>
  <si>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</si>
  <si>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</si>
  <si>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</si>
  <si>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</si>
  <si>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</si>
  <si>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</si>
  <si>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</si>
  <si>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</si>
  <si>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</si>
  <si>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</si>
  <si>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</si>
  <si>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</si>
  <si>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</si>
  <si>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</si>
  <si>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</si>
  <si>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</si>
  <si>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</si>
  <si>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</si>
  <si>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</si>
  <si>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</si>
  <si>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</si>
  <si>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</si>
  <si>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</si>
  <si>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</si>
  <si>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</si>
  <si>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</si>
  <si>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</si>
  <si>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</si>
  <si>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</si>
  <si>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</si>
  <si>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</si>
  <si>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</si>
  <si>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</si>
  <si>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</si>
  <si>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</si>
  <si>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</si>
  <si>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</si>
  <si>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</si>
  <si>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</si>
  <si>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</si>
  <si>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</si>
  <si>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</si>
  <si>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</si>
  <si>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</si>
  <si>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</si>
  <si>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</si>
  <si>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</si>
  <si>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</si>
  <si>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</si>
  <si>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</si>
  <si>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</si>
  <si>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</si>
  <si>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</si>
  <si>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</si>
  <si>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</si>
  <si>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</si>
  <si>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</si>
  <si>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</si>
  <si>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</si>
  <si>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</si>
  <si>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</si>
  <si>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</si>
  <si>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</si>
  <si>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</si>
  <si>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</si>
  <si>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</si>
  <si>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</si>
  <si>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</si>
  <si>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</si>
  <si>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</si>
  <si>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</si>
  <si>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</si>
  <si>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</si>
  <si>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</si>
  <si>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</si>
  <si>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</si>
  <si>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</si>
  <si>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</si>
  <si>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</si>
  <si>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</si>
  <si>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</si>
  <si>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</si>
  <si>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</si>
  <si>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</si>
  <si>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</si>
  <si>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</si>
  <si>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</si>
  <si>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</si>
  <si>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</si>
  <si>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</si>
  <si>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</si>
  <si>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</si>
  <si>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</si>
  <si>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</si>
  <si>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</si>
  <si>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</si>
  <si>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</si>
  <si>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</si>
  <si>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</si>
  <si>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</si>
  <si>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</si>
  <si>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</si>
  <si>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</si>
  <si>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</si>
  <si>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</si>
  <si>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</si>
  <si>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</si>
  <si>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</si>
  <si>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</si>
  <si>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</si>
  <si>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</si>
  <si>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</si>
  <si>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</si>
  <si>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</si>
  <si>
    <r>
      <t xml:space="preserve">Please complete by </t>
    </r>
    <r>
      <rPr>
        <b/>
        <sz val="11"/>
        <rFont val="Arial"/>
        <family val="2"/>
      </rPr>
      <t>Friday 1 May 2026</t>
    </r>
    <r>
      <rPr>
        <sz val="11"/>
        <rFont val="Arial"/>
        <family val="2"/>
      </rPr>
      <t xml:space="preserve"> and send the spreadsheet as an attachment via e-mail to firestatistics@communities.gov.uk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</si>
</sst>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fif"/></Relationships>
</file>

<file path=xl/drawings/_rels/drawing2.xml.rels><?xml version="1.0" encoding="UTF-8" standalone="yes"?>
<Relationships xmlns="http://schemas.openxmlformats.org/package/2006/relationships"><Relationship Id="rId1" Type="http://schemas.openxmlformats.org/officeDocument/2006/relationships/image" Target="../media/image1.jfif"/></Relationships>
</file>

<file path=xl/drawings/_rels/drawing3.xml.rels><?xml version="1.0" encoding="UTF-8" standalone="yes"?>
<Relationships xmlns="http://schemas.openxmlformats.org/package/2006/relationships"><Relationship Id="rId1" Type="http://schemas.openxmlformats.org/officeDocument/2006/relationships/image" Target="../media/image1.jfif"/></Relationships>
</file>

<file path=xl/drawings/_rels/drawing4.xml.rels><?xml version="1.0" encoding="UTF-8" standalone="yes"?>
<Relationships xmlns="http://schemas.openxmlformats.org/package/2006/relationships"><Relationship Id="rId1" Type="http://schemas.openxmlformats.org/officeDocument/2006/relationships/image" Target="../media/image1.jfif"/></Relationships>
</file>

<file path=xl/drawings/_rels/drawing5.xml.rels><?xml version="1.0" encoding="UTF-8" standalone="yes"?>
<Relationships xmlns="http://schemas.openxmlformats.org/package/2006/relationships"><Relationship Id="rId1" Type="http://schemas.openxmlformats.org/officeDocument/2006/relationships/image" Target="../media/image1.jfif"/></Relationships>
</file>

<file path=xl/drawings/_rels/drawing6.xml.rels><?xml version="1.0" encoding="UTF-8" standalone="yes"?>
<Relationships xmlns="http://schemas.openxmlformats.org/package/2006/relationships"><Relationship Id="rId1" Type="http://schemas.openxmlformats.org/officeDocument/2006/relationships/image" Target="../media/image1.jfif"/></Relationships>
</file>

<file path=xl/drawings/_rels/drawing7.xml.rels><?xml version="1.0" encoding="UTF-8" standalone="yes"?>
<Relationships xmlns="http://schemas.openxmlformats.org/package/2006/relationships"><Relationship Id="rId1" Type="http://schemas.openxmlformats.org/officeDocument/2006/relationships/image" Target="../media/image1.jfif"/></Relationships>
</file>

<file path=xl/drawings/_rels/drawing8.xml.rels><?xml version="1.0" encoding="UTF-8" standalone="yes"?>
<Relationships xmlns="http://schemas.openxmlformats.org/package/2006/relationships"><Relationship Id="rId1" Type="http://schemas.openxmlformats.org/officeDocument/2006/relationships/image" Target="../media/image1.jfif"/></Relationships>
</file>

<file path=xl/drawings/drawing1.xml><?xml version="1.0" encoding="utf-8"?>
<xdr:wsDr xmlns:xdr="http://schemas.openxmlformats.org/drawingml/2006/spreadsheetDrawing" xmlns:a="http://schemas.openxmlformats.org/drawingml/2006/main">
  <xdr:oneCellAnchor>
    <xdr:from>
      <xdr:col>0</xdr:col>
      <xdr:colOff>16510</xdr:colOff>
      <xdr:row>0</xdr:row>
      <xdr:rowOff>21143</xdr:rowOff>
    </xdr:from>
    <xdr:ext cx="1685191" cy="876300"/>
    <xdr:pic>
      <xdr:nvPicPr>
        <xdr:cNvPr id="2" name="Picture 2" descr="Ministry of Housing, Communities and Local Government logo">
          <a:extLst>
            <a:ext uri="{FF2B5EF4-FFF2-40B4-BE49-F238E27FC236}">
              <a16:creationId xmlns:a16="http://schemas.microsoft.com/office/drawing/2014/main" id="{A7B7CAD1-E678-43FE-8FFA-8AE9B6AC4328}"/>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6510" y="21143"/>
          <a:ext cx="1685191" cy="876300"/>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9639</xdr:rowOff>
    </xdr:from>
    <xdr:ext cx="1685191" cy="876300"/>
    <xdr:pic>
      <xdr:nvPicPr>
        <xdr:cNvPr id="3" name="Picture 2" descr="Ministry of Housing, Communities and Local Government logo">
          <a:extLst>
            <a:ext uri="{FF2B5EF4-FFF2-40B4-BE49-F238E27FC236}">
              <a16:creationId xmlns:a16="http://schemas.microsoft.com/office/drawing/2014/main" id="{2B77DA16-9108-4128-AD7F-7E79517014B1}"/>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168389"/>
          <a:ext cx="1685191" cy="876300"/>
        </a:xfrm>
        <a:prstGeom prst="rect">
          <a:avLst/>
        </a:prstGeom>
        <a:noFill/>
        <a:ln cap="flat">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36286</xdr:colOff>
      <xdr:row>0</xdr:row>
      <xdr:rowOff>72571</xdr:rowOff>
    </xdr:from>
    <xdr:ext cx="1685191" cy="876300"/>
    <xdr:pic>
      <xdr:nvPicPr>
        <xdr:cNvPr id="3" name="Picture 2" descr="Ministry of Housing, Communities and Local Government logo">
          <a:extLst>
            <a:ext uri="{FF2B5EF4-FFF2-40B4-BE49-F238E27FC236}">
              <a16:creationId xmlns:a16="http://schemas.microsoft.com/office/drawing/2014/main" id="{6DAAEB45-9294-4CEE-961D-FDC5DEE2BAFA}"/>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6286" y="72571"/>
          <a:ext cx="1685191" cy="876300"/>
        </a:xfrm>
        <a:prstGeom prst="rect">
          <a:avLst/>
        </a:prstGeom>
        <a:noFill/>
        <a:ln cap="flat">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40821</xdr:colOff>
      <xdr:row>0</xdr:row>
      <xdr:rowOff>99059</xdr:rowOff>
    </xdr:from>
    <xdr:ext cx="1685191" cy="876300"/>
    <xdr:pic>
      <xdr:nvPicPr>
        <xdr:cNvPr id="3" name="Picture 2" descr="Ministry of Housing, Communities and Local Government logo">
          <a:extLst>
            <a:ext uri="{FF2B5EF4-FFF2-40B4-BE49-F238E27FC236}">
              <a16:creationId xmlns:a16="http://schemas.microsoft.com/office/drawing/2014/main" id="{670647F0-30B2-4194-8862-0A2F35863FCF}"/>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0821" y="99059"/>
          <a:ext cx="1685191" cy="876300"/>
        </a:xfrm>
        <a:prstGeom prst="rect">
          <a:avLst/>
        </a:prstGeom>
        <a:noFill/>
        <a:ln cap="flat">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40821</xdr:colOff>
      <xdr:row>0</xdr:row>
      <xdr:rowOff>99059</xdr:rowOff>
    </xdr:from>
    <xdr:ext cx="1685191" cy="876300"/>
    <xdr:pic>
      <xdr:nvPicPr>
        <xdr:cNvPr id="3" name="Picture 2" descr="Ministry of Housing, Communities and Local Government logo">
          <a:extLst>
            <a:ext uri="{FF2B5EF4-FFF2-40B4-BE49-F238E27FC236}">
              <a16:creationId xmlns:a16="http://schemas.microsoft.com/office/drawing/2014/main" id="{F37806B0-8E57-4127-89DA-2075E4BE24C9}"/>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0821" y="99059"/>
          <a:ext cx="1685191" cy="876300"/>
        </a:xfrm>
        <a:prstGeom prst="rect">
          <a:avLst/>
        </a:prstGeom>
        <a:noFill/>
        <a:ln cap="flat">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40821</xdr:colOff>
      <xdr:row>0</xdr:row>
      <xdr:rowOff>99059</xdr:rowOff>
    </xdr:from>
    <xdr:ext cx="1685191" cy="876300"/>
    <xdr:pic>
      <xdr:nvPicPr>
        <xdr:cNvPr id="3" name="Picture 2" descr="Ministry of Housing, Communities and Local Government logo">
          <a:extLst>
            <a:ext uri="{FF2B5EF4-FFF2-40B4-BE49-F238E27FC236}">
              <a16:creationId xmlns:a16="http://schemas.microsoft.com/office/drawing/2014/main" id="{8AF3C8DA-692A-4282-9E4C-F8F6E0CD8E87}"/>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0821" y="99059"/>
          <a:ext cx="1685191" cy="876300"/>
        </a:xfrm>
        <a:prstGeom prst="rect">
          <a:avLst/>
        </a:prstGeom>
        <a:noFill/>
        <a:ln cap="flat">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44239</xdr:colOff>
      <xdr:row>0</xdr:row>
      <xdr:rowOff>17039</xdr:rowOff>
    </xdr:from>
    <xdr:ext cx="1487700" cy="773605"/>
    <xdr:pic>
      <xdr:nvPicPr>
        <xdr:cNvPr id="3" name="Picture 2" descr="Ministry of Housing, Communities and Local Government logo">
          <a:extLst>
            <a:ext uri="{FF2B5EF4-FFF2-40B4-BE49-F238E27FC236}">
              <a16:creationId xmlns:a16="http://schemas.microsoft.com/office/drawing/2014/main" id="{5E3FBAF2-5DAC-4C6E-8BBC-38B2CA92CA52}"/>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4239" y="17039"/>
          <a:ext cx="1487700" cy="773605"/>
        </a:xfrm>
        <a:prstGeom prst="rect">
          <a:avLst/>
        </a:prstGeom>
        <a:noFill/>
        <a:ln cap="flat">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44238</xdr:colOff>
      <xdr:row>0</xdr:row>
      <xdr:rowOff>56727</xdr:rowOff>
    </xdr:from>
    <xdr:ext cx="1376575" cy="715820"/>
    <xdr:pic>
      <xdr:nvPicPr>
        <xdr:cNvPr id="3" name="Picture 2" descr="Ministry of Housing, Communities and Local Government logo">
          <a:extLst>
            <a:ext uri="{FF2B5EF4-FFF2-40B4-BE49-F238E27FC236}">
              <a16:creationId xmlns:a16="http://schemas.microsoft.com/office/drawing/2014/main" id="{DA1D718B-A1C6-4B94-B1C2-FF80E5705007}"/>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4238" y="56727"/>
          <a:ext cx="1376575" cy="715820"/>
        </a:xfrm>
        <a:prstGeom prst="rect">
          <a:avLst/>
        </a:prstGeom>
        <a:noFill/>
        <a:ln cap="flat">
          <a:noFill/>
        </a:ln>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5"/>
  <cols>
    <col min="1" max="1" width="18.26953125" style="76" customWidth="1"/>
    <col min="2" max="5" width="16.26953125" style="76" customWidth="1"/>
    <col min="6" max="6" width="44.81640625" style="76" customWidth="1"/>
    <col min="7" max="24" width="16.26953125" style="76" customWidth="1"/>
    <col min="25" max="29" width="8.81640625" style="76"/>
  </cols>
  <sheetData>
    <row r="1" spans="1:7" ht="14">
      <c r="A1" s="181" t="s">
        <v>0</v>
      </c>
      <c r="B1" s="181"/>
      <c r="C1" s="181"/>
      <c r="D1" s="181"/>
      <c r="E1" s="181"/>
      <c r="F1" s="181"/>
      <c r="G1" s="181"/>
    </row>
    <row r="2" spans="1:7" ht="14">
      <c r="A2" s="181"/>
      <c r="B2" s="181"/>
      <c r="C2" s="186"/>
      <c r="D2" s="186"/>
      <c r="E2" s="186"/>
      <c r="F2" s="186"/>
      <c r="G2" s="186"/>
    </row>
    <row r="3" spans="1:7" ht="14">
      <c r="A3" s="181"/>
      <c r="B3" s="181"/>
      <c r="C3" s="190"/>
      <c r="D3" s="190"/>
      <c r="E3" s="190"/>
      <c r="F3" s="190"/>
      <c r="G3" s="190"/>
    </row>
    <row r="4" spans="1:7" ht="14">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
      <c r="A7" s="392" t="s">
        <v>2</v>
      </c>
      <c r="B7" s="393"/>
      <c r="C7" s="393"/>
      <c r="D7" s="393"/>
      <c r="E7" s="393"/>
      <c r="F7" s="394"/>
      <c r="G7" s="17"/>
    </row>
    <row r="8" spans="1:7" ht="18.5" thickBot="1">
      <c r="A8" s="395" t="s">
        <v>3</v>
      </c>
      <c r="B8" s="396"/>
      <c r="C8" s="396"/>
      <c r="D8" s="396"/>
      <c r="E8" s="396"/>
      <c r="F8" s="397"/>
      <c r="G8" s="17"/>
    </row>
    <row r="9" spans="1:7" ht="14.5" thickBot="1">
      <c r="A9" s="181"/>
      <c r="B9" s="181"/>
      <c r="C9" s="181"/>
      <c r="D9" s="181"/>
      <c r="E9" s="181"/>
      <c r="F9" s="181"/>
      <c r="G9" s="181"/>
    </row>
    <row r="10" spans="1:7" ht="25.5" thickBot="1">
      <c r="A10" s="398" t="s">
        <v>116</v>
      </c>
      <c r="B10" s="399"/>
      <c r="C10" s="399"/>
      <c r="D10" s="399"/>
      <c r="E10" s="399"/>
      <c r="F10" s="400"/>
      <c r="G10" s="181"/>
    </row>
    <row r="11" spans="1:7" ht="16" thickBot="1">
      <c r="A11" s="401" t="str">
        <f>VLOOKUP(B250,B251:D316,3,FALSE)</f>
        <v>NWFC</v>
      </c>
      <c r="B11" s="402"/>
      <c r="C11" s="402"/>
      <c r="D11" s="402"/>
      <c r="E11" s="402"/>
      <c r="F11" s="403"/>
      <c r="G11" s="181"/>
    </row>
    <row r="12" spans="1:7" ht="14">
      <c r="A12" s="182"/>
      <c r="B12" s="182"/>
      <c r="C12" s="182"/>
      <c r="D12" s="182"/>
      <c r="E12" s="182"/>
      <c r="F12" s="182"/>
      <c r="G12" s="182"/>
    </row>
    <row r="13" spans="1:7" ht="14">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
      <c r="A21" s="233" t="s">
        <v>20</v>
      </c>
      <c r="B21" s="415" t="s">
        <v>21</v>
      </c>
      <c r="C21" s="415"/>
      <c r="D21" s="415"/>
      <c r="E21" s="415"/>
      <c r="F21" s="415"/>
      <c r="G21" s="181"/>
    </row>
    <row r="22" spans="1:7" ht="14">
      <c r="A22" s="181"/>
      <c r="B22" s="181"/>
      <c r="C22" s="181"/>
      <c r="D22" s="181"/>
      <c r="E22" s="181"/>
      <c r="F22" s="181"/>
      <c r="G22" s="181"/>
    </row>
    <row r="23" spans="1:7" ht="14">
      <c r="A23" s="211" t="s">
        <v>22</v>
      </c>
      <c r="B23" s="200"/>
      <c r="C23" s="200"/>
      <c r="D23" s="200"/>
      <c r="E23" s="200"/>
      <c r="F23" s="200"/>
      <c r="G23" s="181"/>
    </row>
    <row r="24" spans="1:7" ht="30" customHeight="1">
      <c r="A24" s="417" t="s">
        <v>23</v>
      </c>
      <c r="B24" s="417"/>
      <c r="C24" s="417"/>
      <c r="D24" s="417"/>
      <c r="E24" s="417"/>
      <c r="F24" s="417"/>
      <c r="G24" s="181"/>
    </row>
    <row r="25" spans="1:7" ht="14">
      <c r="A25" s="181"/>
      <c r="B25" s="181"/>
      <c r="C25" s="181"/>
      <c r="D25" s="181"/>
      <c r="E25" s="181"/>
      <c r="F25" s="181"/>
      <c r="G25" s="181"/>
    </row>
    <row r="26" spans="1:7" ht="13.9" customHeight="1">
      <c r="A26" s="416" t="s">
        <v>586</v>
      </c>
      <c r="B26" s="416"/>
      <c r="C26" s="416"/>
      <c r="D26" s="416"/>
      <c r="E26" s="416"/>
      <c r="F26" s="416"/>
      <c r="G26" s="186"/>
    </row>
    <row r="27" spans="1:7" ht="14.5" thickBot="1">
      <c r="A27" s="187"/>
      <c r="B27" s="187"/>
      <c r="C27" s="181"/>
      <c r="D27" s="181"/>
      <c r="E27" s="181"/>
      <c r="F27" s="181"/>
      <c r="G27" s="181"/>
    </row>
    <row r="28" spans="1:7" ht="14.5" thickBot="1">
      <c r="A28" s="18" t="s">
        <v>24</v>
      </c>
      <c r="B28" s="405"/>
      <c r="C28" s="406"/>
      <c r="D28" s="406"/>
      <c r="E28" s="406"/>
      <c r="F28" s="407"/>
      <c r="G28" s="188"/>
    </row>
    <row r="29" spans="1:7" ht="14.5" thickBot="1">
      <c r="A29" s="18" t="s">
        <v>25</v>
      </c>
      <c r="B29" s="408"/>
      <c r="C29" s="409"/>
      <c r="D29" s="409"/>
      <c r="E29" s="409"/>
      <c r="F29" s="410"/>
      <c r="G29" s="181"/>
    </row>
    <row r="30" spans="1:7" ht="14">
      <c r="A30" s="181"/>
      <c r="B30" s="181"/>
      <c r="C30" s="181"/>
      <c r="D30" s="181"/>
      <c r="E30" s="181"/>
      <c r="F30" s="181"/>
      <c r="G30" s="181"/>
    </row>
    <row r="31" spans="1:7" ht="14.5" customHeight="1" thickBot="1">
      <c r="A31" s="411" t="s">
        <v>26</v>
      </c>
      <c r="B31" s="411"/>
      <c r="C31" s="411"/>
      <c r="D31" s="411"/>
      <c r="E31" s="411"/>
      <c r="F31" s="411"/>
      <c r="G31" s="181"/>
    </row>
    <row r="32" spans="1:7" ht="49.15" customHeight="1" thickBot="1">
      <c r="A32" s="412"/>
      <c r="B32" s="413"/>
      <c r="C32" s="413"/>
      <c r="D32" s="413"/>
      <c r="E32" s="413"/>
      <c r="F32" s="414"/>
      <c r="G32" s="189"/>
    </row>
    <row r="34" spans="1:1" ht="13">
      <c r="A34" s="205"/>
    </row>
    <row r="250" spans="1:4" s="309" customFormat="1" ht="15" customHeight="1">
      <c r="A250" s="307" t="s">
        <v>27</v>
      </c>
      <c r="B250" s="307">
        <v>45</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6953125" defaultRowHeight="15.5"/>
  <cols>
    <col min="1" max="1" width="30.7265625" style="62" customWidth="1"/>
    <col min="2" max="2" width="6.7265625" style="61" customWidth="1"/>
    <col min="3" max="3" width="48.1796875" style="61" customWidth="1"/>
    <col min="4" max="6" width="6.7265625" style="61" customWidth="1"/>
    <col min="7" max="7" width="40.26953125" style="61" bestFit="1" customWidth="1"/>
    <col min="8" max="11" width="6.7265625" style="61" customWidth="1"/>
    <col min="12" max="12" width="7.7265625" style="62" customWidth="1"/>
    <col min="13" max="13" width="20.1796875" style="62" customWidth="1"/>
    <col min="14" max="14" width="12.26953125" style="62" customWidth="1"/>
    <col min="15" max="15" width="10.7265625" style="62" bestFit="1" customWidth="1"/>
    <col min="16" max="16384" width="9.26953125" style="62"/>
  </cols>
  <sheetData>
    <row r="1" spans="1:15" ht="23.15"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5" customHeight="1">
      <c r="A21" s="363" t="s">
        <v>147</v>
      </c>
    </row>
    <row r="22" spans="1:13">
      <c r="A22" s="364" t="s">
        <v>148</v>
      </c>
      <c r="B22" s="429" t="s">
        <v>149</v>
      </c>
      <c r="C22" s="429"/>
      <c r="D22" s="429"/>
      <c r="E22" s="429"/>
      <c r="F22" s="429"/>
      <c r="G22" s="429"/>
      <c r="H22" s="429"/>
      <c r="I22" s="429"/>
      <c r="J22" s="429"/>
      <c r="K22" s="429"/>
      <c r="L22" s="429"/>
      <c r="M22" s="429"/>
    </row>
    <row r="23" spans="1:13">
      <c r="A23" s="364"/>
      <c r="B23" s="426" t="s">
        <v>555</v>
      </c>
      <c r="C23" s="426"/>
      <c r="D23" s="426"/>
      <c r="E23" s="426"/>
      <c r="F23" s="426"/>
      <c r="G23" s="426"/>
      <c r="H23" s="426"/>
      <c r="I23" s="426"/>
      <c r="J23" s="426"/>
      <c r="K23" s="426"/>
      <c r="L23" s="426"/>
      <c r="M23" s="426"/>
    </row>
    <row r="24" spans="1:13">
      <c r="A24" s="365"/>
      <c r="B24" s="418" t="s">
        <v>556</v>
      </c>
      <c r="C24" s="418"/>
      <c r="D24" s="418"/>
      <c r="E24" s="418"/>
      <c r="F24" s="418"/>
      <c r="G24" s="418"/>
      <c r="H24" s="418"/>
      <c r="I24" s="418"/>
      <c r="J24" s="418"/>
      <c r="K24" s="418"/>
      <c r="L24" s="418"/>
      <c r="M24" s="418"/>
    </row>
    <row r="25" spans="1:13">
      <c r="A25" s="365"/>
      <c r="B25" s="426" t="s">
        <v>557</v>
      </c>
      <c r="C25" s="426"/>
      <c r="D25" s="426"/>
      <c r="E25" s="426"/>
      <c r="F25" s="426"/>
      <c r="G25" s="426"/>
      <c r="H25" s="426"/>
      <c r="I25" s="426"/>
      <c r="J25" s="426"/>
      <c r="K25" s="426"/>
      <c r="L25" s="426"/>
      <c r="M25" s="426"/>
    </row>
    <row r="26" spans="1:13">
      <c r="A26" s="365"/>
      <c r="B26" s="426" t="s">
        <v>558</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559</v>
      </c>
      <c r="C28" s="420"/>
      <c r="D28" s="420"/>
      <c r="E28" s="420"/>
      <c r="F28" s="420"/>
      <c r="G28" s="420"/>
      <c r="H28" s="420"/>
      <c r="I28" s="420"/>
      <c r="J28" s="420"/>
      <c r="K28" s="420"/>
      <c r="L28" s="420"/>
      <c r="M28" s="420"/>
    </row>
    <row r="29" spans="1:13">
      <c r="A29" s="365"/>
      <c r="B29" s="420" t="s">
        <v>560</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561</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562</v>
      </c>
      <c r="C33" s="425"/>
      <c r="D33" s="425"/>
      <c r="E33" s="425"/>
      <c r="F33" s="425"/>
      <c r="G33" s="425"/>
      <c r="H33" s="425"/>
      <c r="I33" s="425"/>
      <c r="J33" s="425"/>
      <c r="K33" s="425"/>
      <c r="L33" s="425"/>
      <c r="M33" s="425"/>
    </row>
    <row r="34" spans="1:25" ht="21.65"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5" customHeight="1">
      <c r="A37" s="364" t="s">
        <v>155</v>
      </c>
      <c r="B37" s="426" t="s">
        <v>156</v>
      </c>
      <c r="C37" s="426"/>
      <c r="D37" s="426"/>
      <c r="E37" s="426"/>
      <c r="F37" s="426"/>
      <c r="G37" s="426"/>
      <c r="H37" s="426"/>
      <c r="I37" s="426"/>
      <c r="J37" s="426"/>
      <c r="K37" s="426"/>
      <c r="L37" s="426"/>
      <c r="M37" s="426"/>
      <c r="O37" s="366"/>
    </row>
    <row r="38" spans="1:25" ht="33.65"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5" customHeight="1">
      <c r="A50" s="364" t="s">
        <v>172</v>
      </c>
      <c r="B50" s="426" t="s">
        <v>173</v>
      </c>
      <c r="C50" s="426"/>
      <c r="D50" s="426"/>
      <c r="E50" s="426"/>
      <c r="F50" s="426"/>
      <c r="G50" s="426"/>
      <c r="H50" s="426"/>
      <c r="I50" s="426"/>
      <c r="J50" s="426"/>
      <c r="K50" s="426"/>
      <c r="L50" s="426"/>
      <c r="M50" s="426"/>
    </row>
    <row r="51" spans="1:13" ht="30.65"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5" customHeight="1">
      <c r="A58" s="365"/>
      <c r="B58" s="422" t="s">
        <v>563</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5"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5"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564</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c r="A75" s="364" t="s">
        <v>209</v>
      </c>
      <c r="B75" s="418" t="s">
        <v>565</v>
      </c>
      <c r="C75" s="418"/>
      <c r="D75" s="418"/>
      <c r="E75" s="418"/>
      <c r="F75" s="418"/>
      <c r="G75" s="418"/>
      <c r="H75" s="418"/>
      <c r="I75" s="418"/>
      <c r="J75" s="418"/>
      <c r="K75" s="418"/>
      <c r="L75" s="418"/>
      <c r="M75" s="418"/>
    </row>
    <row r="76" spans="1:13">
      <c r="A76" s="364"/>
      <c r="B76" s="418" t="s">
        <v>210</v>
      </c>
      <c r="C76" s="418"/>
      <c r="D76" s="418"/>
      <c r="E76" s="418"/>
      <c r="F76" s="418"/>
      <c r="G76" s="418"/>
      <c r="H76" s="418"/>
      <c r="I76" s="418"/>
      <c r="J76" s="418"/>
      <c r="K76" s="418"/>
      <c r="L76" s="418"/>
      <c r="M76" s="418"/>
    </row>
    <row r="77" spans="1:13">
      <c r="A77" s="364"/>
      <c r="B77" s="422" t="s">
        <v>211</v>
      </c>
      <c r="C77" s="422"/>
      <c r="D77" s="422"/>
      <c r="E77" s="422"/>
      <c r="F77" s="422"/>
      <c r="G77" s="422"/>
      <c r="H77" s="422"/>
      <c r="I77" s="422"/>
      <c r="J77" s="422"/>
      <c r="K77" s="422"/>
      <c r="L77" s="422"/>
    </row>
    <row r="78" spans="1:13">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c r="A80" s="365"/>
      <c r="B80" s="373" t="s">
        <v>213</v>
      </c>
      <c r="C80" s="365" t="s">
        <v>215</v>
      </c>
      <c r="D80" s="365"/>
      <c r="E80" s="365"/>
      <c r="F80" s="365"/>
      <c r="G80" s="365"/>
      <c r="H80" s="365"/>
      <c r="I80" s="365"/>
      <c r="J80" s="365"/>
      <c r="K80" s="365"/>
      <c r="L80" s="365"/>
    </row>
    <row r="81" spans="1:12">
      <c r="A81" s="365"/>
      <c r="B81" s="373" t="s">
        <v>213</v>
      </c>
      <c r="C81" s="365" t="s">
        <v>216</v>
      </c>
      <c r="D81" s="365"/>
      <c r="E81" s="365"/>
      <c r="F81" s="365"/>
      <c r="G81" s="365"/>
      <c r="H81" s="365"/>
      <c r="I81" s="365"/>
      <c r="J81" s="365"/>
      <c r="K81" s="365"/>
      <c r="L81" s="365"/>
    </row>
    <row r="82" spans="1:12">
      <c r="A82" s="365"/>
      <c r="B82" s="373" t="s">
        <v>213</v>
      </c>
      <c r="C82" s="365" t="s">
        <v>217</v>
      </c>
      <c r="D82" s="365"/>
      <c r="E82" s="365"/>
      <c r="F82" s="365"/>
      <c r="G82" s="365"/>
      <c r="H82" s="365"/>
      <c r="I82" s="365"/>
      <c r="J82" s="365"/>
      <c r="K82" s="365"/>
      <c r="L82" s="365"/>
    </row>
    <row r="83" spans="1:12">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c r="A85" s="365"/>
      <c r="B85" s="373" t="s">
        <v>213</v>
      </c>
      <c r="C85" s="365" t="s">
        <v>220</v>
      </c>
      <c r="D85" s="365"/>
      <c r="E85" s="365"/>
      <c r="F85" s="365"/>
      <c r="G85" s="365"/>
      <c r="H85" s="365"/>
      <c r="I85" s="365"/>
      <c r="J85" s="365"/>
      <c r="K85" s="365"/>
      <c r="L85" s="365"/>
    </row>
    <row r="86" spans="1:12">
      <c r="A86" s="365"/>
      <c r="B86" s="373" t="s">
        <v>213</v>
      </c>
      <c r="C86" s="365" t="s">
        <v>221</v>
      </c>
      <c r="D86" s="365"/>
      <c r="E86" s="365"/>
      <c r="F86" s="365"/>
      <c r="G86" s="365"/>
      <c r="H86" s="365"/>
      <c r="I86" s="365"/>
      <c r="J86" s="365"/>
      <c r="K86" s="365"/>
      <c r="L86" s="365"/>
    </row>
    <row r="87" spans="1:12">
      <c r="A87" s="365"/>
      <c r="B87" s="373" t="s">
        <v>213</v>
      </c>
      <c r="C87" s="365" t="s">
        <v>222</v>
      </c>
      <c r="D87" s="365"/>
      <c r="E87" s="365"/>
      <c r="F87" s="365"/>
      <c r="G87" s="365"/>
      <c r="H87" s="365"/>
      <c r="I87" s="365"/>
      <c r="J87" s="365"/>
      <c r="K87" s="365"/>
      <c r="L87" s="365"/>
    </row>
    <row r="88" spans="1:12">
      <c r="A88" s="365"/>
      <c r="B88" s="373" t="s">
        <v>213</v>
      </c>
      <c r="C88" s="365" t="s">
        <v>223</v>
      </c>
      <c r="D88" s="365"/>
      <c r="E88" s="365"/>
      <c r="F88" s="365"/>
      <c r="G88" s="365"/>
      <c r="H88" s="365"/>
      <c r="I88" s="365"/>
      <c r="J88" s="365"/>
      <c r="K88" s="365"/>
      <c r="L88" s="365"/>
    </row>
    <row r="89" spans="1:12">
      <c r="B89" s="428" t="s">
        <v>224</v>
      </c>
      <c r="C89" s="428"/>
      <c r="D89" s="428"/>
      <c r="E89" s="428"/>
      <c r="F89" s="428"/>
      <c r="G89" s="428"/>
      <c r="H89" s="428"/>
      <c r="I89" s="428"/>
      <c r="J89" s="428"/>
      <c r="K89" s="428"/>
      <c r="L89" s="428"/>
    </row>
    <row r="90" spans="1:12">
      <c r="A90" s="365"/>
      <c r="B90" s="373" t="s">
        <v>213</v>
      </c>
      <c r="C90" s="365" t="s">
        <v>225</v>
      </c>
      <c r="D90" s="365"/>
      <c r="E90" s="365"/>
      <c r="F90" s="365"/>
      <c r="G90" s="365"/>
      <c r="H90" s="365"/>
      <c r="I90" s="365"/>
      <c r="J90" s="365"/>
      <c r="K90" s="365"/>
      <c r="L90" s="365"/>
    </row>
    <row r="91" spans="1:12">
      <c r="A91" s="365"/>
      <c r="B91" s="373" t="s">
        <v>213</v>
      </c>
      <c r="C91" s="365" t="s">
        <v>226</v>
      </c>
      <c r="D91" s="365"/>
      <c r="E91" s="365"/>
      <c r="F91" s="365"/>
      <c r="G91" s="365"/>
      <c r="H91" s="365"/>
      <c r="I91" s="365"/>
      <c r="J91" s="365"/>
      <c r="K91" s="365"/>
      <c r="L91" s="365"/>
    </row>
    <row r="92" spans="1:12">
      <c r="A92" s="365"/>
      <c r="B92" s="373" t="s">
        <v>213</v>
      </c>
      <c r="C92" s="365" t="s">
        <v>227</v>
      </c>
      <c r="D92" s="365"/>
      <c r="E92" s="365"/>
      <c r="F92" s="365"/>
      <c r="G92" s="365"/>
      <c r="H92" s="365"/>
      <c r="I92" s="365"/>
      <c r="J92" s="365"/>
      <c r="K92" s="365"/>
      <c r="L92" s="365"/>
    </row>
    <row r="93" spans="1:12">
      <c r="A93" s="365"/>
      <c r="B93" s="373" t="s">
        <v>213</v>
      </c>
      <c r="C93" s="365" t="s">
        <v>228</v>
      </c>
      <c r="D93" s="365"/>
      <c r="E93" s="365"/>
      <c r="F93" s="365"/>
      <c r="G93" s="365"/>
      <c r="H93" s="365"/>
      <c r="I93" s="365"/>
      <c r="J93" s="365"/>
      <c r="K93" s="365"/>
      <c r="L93" s="365"/>
    </row>
    <row r="94" spans="1:12">
      <c r="A94" s="365"/>
      <c r="B94" s="373" t="s">
        <v>213</v>
      </c>
      <c r="C94" s="365" t="s">
        <v>229</v>
      </c>
      <c r="D94" s="365"/>
      <c r="E94" s="365"/>
      <c r="F94" s="365"/>
      <c r="G94" s="365"/>
      <c r="H94" s="365"/>
      <c r="I94" s="365"/>
      <c r="J94" s="365"/>
      <c r="K94" s="365"/>
      <c r="L94" s="365"/>
    </row>
    <row r="95" spans="1:12">
      <c r="B95" s="428" t="s">
        <v>230</v>
      </c>
      <c r="C95" s="428"/>
      <c r="D95" s="428"/>
      <c r="E95" s="428"/>
      <c r="F95" s="428"/>
      <c r="G95" s="428"/>
      <c r="H95" s="428"/>
      <c r="I95" s="428"/>
      <c r="J95" s="428"/>
      <c r="K95" s="428"/>
      <c r="L95" s="428"/>
    </row>
    <row r="96" spans="1:12">
      <c r="A96" s="365"/>
      <c r="B96" s="373" t="s">
        <v>213</v>
      </c>
      <c r="C96" s="365" t="s">
        <v>231</v>
      </c>
      <c r="D96" s="365"/>
      <c r="E96" s="365"/>
      <c r="F96" s="365"/>
      <c r="G96" s="365"/>
      <c r="H96" s="365"/>
      <c r="I96" s="365"/>
      <c r="J96" s="365"/>
      <c r="K96" s="365"/>
      <c r="L96" s="365"/>
    </row>
    <row r="97" spans="1:13">
      <c r="A97" s="365"/>
      <c r="B97" s="373" t="s">
        <v>213</v>
      </c>
      <c r="C97" s="365" t="s">
        <v>232</v>
      </c>
      <c r="D97" s="365"/>
      <c r="E97" s="365"/>
      <c r="F97" s="365"/>
      <c r="G97" s="365"/>
      <c r="H97" s="365"/>
      <c r="I97" s="365"/>
      <c r="J97" s="365"/>
      <c r="K97" s="365"/>
      <c r="L97" s="365"/>
    </row>
    <row r="98" spans="1:13">
      <c r="A98" s="365"/>
      <c r="B98" s="373" t="s">
        <v>213</v>
      </c>
      <c r="C98" s="365" t="s">
        <v>233</v>
      </c>
      <c r="D98" s="365"/>
      <c r="E98" s="365"/>
      <c r="F98" s="365"/>
      <c r="G98" s="365"/>
      <c r="H98" s="365"/>
      <c r="I98" s="365"/>
      <c r="J98" s="365"/>
      <c r="K98" s="365"/>
      <c r="L98" s="365"/>
    </row>
    <row r="99" spans="1:13">
      <c r="B99" s="428" t="s">
        <v>234</v>
      </c>
      <c r="C99" s="428"/>
      <c r="D99" s="428"/>
      <c r="E99" s="428"/>
      <c r="F99" s="428"/>
      <c r="G99" s="428"/>
      <c r="H99" s="428"/>
      <c r="I99" s="428"/>
      <c r="J99" s="428"/>
      <c r="K99" s="428"/>
      <c r="L99" s="428"/>
    </row>
    <row r="100" spans="1:13">
      <c r="A100" s="365"/>
      <c r="B100" s="373" t="s">
        <v>213</v>
      </c>
      <c r="C100" s="365" t="s">
        <v>235</v>
      </c>
      <c r="D100" s="365"/>
      <c r="E100" s="365"/>
      <c r="F100" s="365"/>
      <c r="G100" s="365"/>
      <c r="H100" s="365"/>
      <c r="I100" s="365"/>
      <c r="J100" s="365"/>
      <c r="K100" s="365"/>
      <c r="L100" s="365"/>
    </row>
    <row r="101" spans="1:13">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c r="A104" s="364" t="s">
        <v>239</v>
      </c>
      <c r="B104" s="426" t="s">
        <v>240</v>
      </c>
      <c r="C104" s="426"/>
      <c r="D104" s="426"/>
      <c r="E104" s="426"/>
      <c r="F104" s="426"/>
      <c r="G104" s="426"/>
      <c r="H104" s="426"/>
      <c r="I104" s="426"/>
      <c r="J104" s="426"/>
      <c r="K104" s="426"/>
      <c r="L104" s="426"/>
    </row>
    <row r="105" spans="1:13">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5" customHeight="1">
      <c r="A126" s="372" t="s">
        <v>263</v>
      </c>
      <c r="B126" s="419" t="s">
        <v>566</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567</v>
      </c>
      <c r="C128" s="418"/>
      <c r="D128" s="418"/>
      <c r="E128" s="418"/>
      <c r="F128" s="418"/>
      <c r="G128" s="418"/>
      <c r="H128" s="418"/>
      <c r="I128" s="418"/>
      <c r="J128" s="418"/>
      <c r="K128" s="418"/>
      <c r="L128" s="418"/>
      <c r="M128" s="418"/>
      <c r="O128" s="22"/>
    </row>
    <row r="129" spans="1:15" ht="35.5" customHeight="1">
      <c r="B129" s="421" t="s">
        <v>265</v>
      </c>
      <c r="C129" s="421"/>
      <c r="D129" s="421"/>
      <c r="E129" s="421"/>
      <c r="F129" s="421"/>
      <c r="G129" s="421"/>
      <c r="H129" s="421"/>
      <c r="I129" s="421"/>
      <c r="J129" s="421"/>
      <c r="K129" s="421"/>
      <c r="L129" s="421"/>
      <c r="M129" s="421"/>
      <c r="O129" s="22"/>
    </row>
    <row r="130" spans="1:15" ht="32.15"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5"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5"/>
  <cols>
    <col min="1" max="1" width="7.1796875" bestFit="1" customWidth="1"/>
    <col min="2" max="2" width="17.453125" bestFit="1" customWidth="1"/>
    <col min="3" max="3" width="11.1796875" bestFit="1" customWidth="1"/>
    <col min="4" max="4" width="39.81640625" bestFit="1" customWidth="1"/>
    <col min="5" max="5" width="15.179687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796875" defaultRowHeight="12.5"/>
  <cols>
    <col min="1" max="1" width="32.453125" style="315" customWidth="1"/>
    <col min="2" max="6" width="29.453125" style="315" customWidth="1"/>
    <col min="7" max="20" width="9.1796875" style="315"/>
    <col min="21" max="23" width="2.1796875" style="315" customWidth="1"/>
    <col min="24" max="24" width="9.1796875" style="315"/>
    <col min="25" max="29" width="2.1796875" style="315" customWidth="1"/>
    <col min="30" max="31" width="9.1796875" style="315"/>
    <col min="32" max="33" width="6.1796875" style="315" customWidth="1"/>
    <col min="34" max="35" width="2.453125" style="315" customWidth="1"/>
    <col min="36" max="36" width="6.1796875" style="315" customWidth="1"/>
    <col min="37" max="41" width="9.1796875" style="315"/>
    <col min="42" max="42" width="4.453125" style="315" customWidth="1"/>
    <col min="43" max="46" width="2.1796875" style="315" customWidth="1"/>
    <col min="47" max="16384" width="9.1796875" style="315"/>
  </cols>
  <sheetData>
    <row r="2" spans="1:23" ht="11.25" customHeight="1"/>
    <row r="3" spans="1:23" ht="20">
      <c r="C3" s="316"/>
      <c r="D3" s="316"/>
      <c r="E3" s="316"/>
      <c r="F3" s="316"/>
    </row>
    <row r="4" spans="1:23" ht="20">
      <c r="B4" s="316"/>
      <c r="C4" s="317" t="s">
        <v>6</v>
      </c>
      <c r="D4" s="318">
        <f>VLOOKUP(Cover!A6,Cover!B319:D335,2,FALSE)</f>
        <v>2025</v>
      </c>
      <c r="E4" s="319" t="str">
        <f>Cover!A10</f>
        <v>North West Fire Control</v>
      </c>
      <c r="F4" s="336"/>
    </row>
    <row r="6" spans="1:23" ht="18.75" customHeight="1">
      <c r="A6" s="320"/>
      <c r="B6" s="321"/>
      <c r="C6" s="321"/>
      <c r="D6" s="321"/>
      <c r="E6" s="321"/>
      <c r="F6" s="321"/>
    </row>
    <row r="7" spans="1:23" ht="15.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ht="13">
      <c r="A10" s="324"/>
      <c r="B10" s="325"/>
      <c r="C10" s="325"/>
      <c r="D10" s="325"/>
      <c r="E10" s="325"/>
      <c r="F10" s="325"/>
    </row>
    <row r="11" spans="1:23" ht="1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ht="13">
      <c r="A19" s="329" t="s">
        <v>288</v>
      </c>
      <c r="B19" s="337">
        <f>SUM(B12:B18)</f>
        <v>0</v>
      </c>
      <c r="C19" s="337">
        <f>SUM(C12:C18)</f>
        <v>0</v>
      </c>
      <c r="D19" s="337">
        <f>SUM(D12:D18)</f>
        <v>0</v>
      </c>
      <c r="E19" s="337">
        <f>SUM(E12:E18)</f>
        <v>0</v>
      </c>
      <c r="F19" s="337">
        <f>SUM(F12:F18)</f>
        <v>0</v>
      </c>
    </row>
    <row r="20" spans="1:23" ht="13">
      <c r="A20" s="329"/>
      <c r="B20" s="330"/>
      <c r="C20" s="330"/>
      <c r="D20" s="330"/>
      <c r="E20" s="330"/>
      <c r="F20" s="330"/>
    </row>
    <row r="21" spans="1:23" ht="13">
      <c r="A21" s="329"/>
      <c r="B21" s="331"/>
      <c r="C21" s="331"/>
      <c r="D21" s="331"/>
      <c r="E21" s="331"/>
      <c r="F21" s="331"/>
    </row>
    <row r="22" spans="1:23" ht="13">
      <c r="A22" s="329"/>
      <c r="B22" s="332"/>
      <c r="C22" s="332"/>
      <c r="D22" s="332"/>
      <c r="E22" s="332"/>
      <c r="F22" s="332"/>
    </row>
    <row r="24" spans="1:23" ht="14">
      <c r="A24" s="324"/>
      <c r="B24" s="324"/>
      <c r="C24" s="329"/>
      <c r="F24" s="333"/>
    </row>
    <row r="25" spans="1:23">
      <c r="B25" s="326" t="s">
        <v>289</v>
      </c>
    </row>
    <row r="26" spans="1:23" ht="1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ht="13">
      <c r="A33" s="323"/>
    </row>
    <row r="34" spans="1:1" ht="13">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6953125" defaultRowHeight="12.5"/>
  <cols>
    <col min="1" max="1" width="32.453125" style="1" customWidth="1"/>
    <col min="2" max="6" width="29.453125" style="1" customWidth="1"/>
    <col min="7" max="7" width="8.453125" style="1" customWidth="1"/>
    <col min="8" max="8" width="79.453125" style="1" customWidth="1"/>
    <col min="9" max="23" width="9.26953125" style="1"/>
    <col min="24" max="26" width="2.26953125" style="1" customWidth="1"/>
    <col min="27" max="27" width="9.26953125" style="1" customWidth="1"/>
    <col min="28" max="32" width="2.26953125" style="1" customWidth="1"/>
    <col min="33" max="34" width="9.26953125" style="1" customWidth="1"/>
    <col min="35" max="36" width="6.26953125" style="1" customWidth="1"/>
    <col min="37" max="38" width="2.453125" style="1" customWidth="1"/>
    <col min="39" max="39" width="6.26953125" style="1" customWidth="1"/>
    <col min="40" max="44" width="9.26953125" style="1" customWidth="1"/>
    <col min="45" max="45" width="4.453125" style="1" customWidth="1"/>
    <col min="46" max="49" width="2.26953125" style="1" customWidth="1"/>
    <col min="50" max="51" width="9.26953125" style="1" customWidth="1"/>
    <col min="52" max="16384" width="9.269531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5" thickBot="1">
      <c r="A6" s="447" t="s">
        <v>290</v>
      </c>
      <c r="B6" s="448"/>
      <c r="C6" s="448"/>
      <c r="D6" s="448"/>
      <c r="E6" s="448"/>
      <c r="F6" s="449"/>
    </row>
    <row r="7" spans="1:35" ht="16" thickBot="1">
      <c r="A7" s="19"/>
      <c r="B7" s="20"/>
      <c r="C7" s="20"/>
      <c r="D7" s="20"/>
      <c r="E7" s="20"/>
      <c r="F7" s="20"/>
    </row>
    <row r="8" spans="1:35" ht="16.399999999999999" customHeight="1" thickBot="1">
      <c r="A8" s="444" t="s">
        <v>568</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ht="13">
      <c r="A20" s="4"/>
      <c r="B20" s="27"/>
      <c r="C20" s="27"/>
      <c r="D20" s="27"/>
      <c r="E20" s="27"/>
      <c r="F20" s="27"/>
      <c r="G20" s="28"/>
    </row>
    <row r="21" spans="1:35" ht="13">
      <c r="A21" s="4"/>
      <c r="B21" s="43"/>
      <c r="C21" s="43"/>
      <c r="D21" s="43"/>
      <c r="E21" s="43"/>
      <c r="F21" s="43"/>
    </row>
    <row r="22" spans="1:35" ht="13">
      <c r="A22" s="4"/>
      <c r="B22" s="44"/>
      <c r="C22" s="44"/>
      <c r="D22" s="44"/>
      <c r="E22" s="44"/>
      <c r="F22" s="44"/>
    </row>
    <row r="23" spans="1:35" ht="13" thickBot="1">
      <c r="B23" s="443"/>
      <c r="C23" s="443"/>
      <c r="D23" s="443"/>
      <c r="E23" s="443"/>
      <c r="F23" s="443"/>
    </row>
    <row r="24" spans="1:35" ht="31.5" customHeight="1" thickBot="1">
      <c r="A24" s="444" t="s">
        <v>569</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ht="13">
      <c r="A27" s="32"/>
      <c r="B27" s="16"/>
      <c r="C27" s="16"/>
      <c r="D27" s="16"/>
      <c r="E27" s="16"/>
      <c r="F27" s="16"/>
      <c r="G27" s="31"/>
      <c r="Z27" s="24"/>
    </row>
    <row r="33" spans="1:1" ht="13">
      <c r="A33" s="33"/>
    </row>
    <row r="34" spans="1:1" ht="13">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5"/>
  <cols>
    <col min="1" max="1" width="7.1796875" bestFit="1" customWidth="1"/>
    <col min="2" max="2" width="17.453125" bestFit="1" customWidth="1"/>
    <col min="3" max="3" width="11.1796875" bestFit="1" customWidth="1"/>
    <col min="4" max="4" width="19.1796875" bestFit="1" customWidth="1"/>
    <col min="5" max="5" width="15.1796875" bestFit="1" customWidth="1"/>
    <col min="6" max="6" width="35" bestFit="1" customWidth="1"/>
    <col min="7" max="7" width="6.726562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5"/>
  <cols>
    <col min="1" max="1" width="15.1796875" bestFit="1" customWidth="1"/>
  </cols>
  <sheetData>
    <row r="4" spans="1:21">
      <c r="C4" s="317" t="s">
        <v>8</v>
      </c>
      <c r="D4" s="318">
        <f>VLOOKUP(Cover!A6,Cover!B319:D335,2,FALSE)</f>
        <v>2025</v>
      </c>
      <c r="E4" s="339" t="str">
        <f>Cover!A10</f>
        <v>North West Fire Control</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796875" defaultRowHeight="12.5"/>
  <cols>
    <col min="1" max="1" width="24" style="1" customWidth="1"/>
    <col min="2" max="16" width="17.1796875" style="24" customWidth="1"/>
    <col min="17" max="25" width="16.7265625" style="1" customWidth="1"/>
    <col min="26" max="29" width="9.1796875" style="1"/>
    <col min="30" max="30" width="5.7265625" style="1" customWidth="1"/>
    <col min="31" max="31" width="9.1796875" style="1" customWidth="1"/>
    <col min="32" max="44" width="5.81640625" style="1" customWidth="1"/>
    <col min="45" max="48" width="9.1796875" style="1" customWidth="1"/>
    <col min="49" max="60" width="6.1796875" style="1" customWidth="1"/>
    <col min="61" max="63" width="9.1796875" style="1" customWidth="1"/>
    <col min="64" max="16384" width="9.179687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570</v>
      </c>
      <c r="B8" s="474"/>
      <c r="C8" s="474"/>
      <c r="D8" s="474"/>
      <c r="E8" s="474"/>
      <c r="F8" s="474"/>
      <c r="G8" s="474"/>
      <c r="H8" s="474"/>
      <c r="I8" s="474"/>
      <c r="J8" s="474"/>
      <c r="K8" s="474"/>
      <c r="L8" s="474"/>
      <c r="M8" s="474"/>
      <c r="N8" s="474"/>
      <c r="O8" s="474"/>
      <c r="P8" s="474"/>
      <c r="Q8" s="474"/>
      <c r="R8" s="474"/>
      <c r="S8" s="474"/>
      <c r="T8" s="474"/>
      <c r="U8" s="488"/>
    </row>
    <row r="9" spans="1:71" s="92" customFormat="1" ht="30.65"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49999999999999"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5"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5"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5"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5"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5"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5"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5"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49999999999999"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571</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571</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ht="13">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ht="13">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5" customHeight="1" thickBot="1">
      <c r="A57" s="473" t="s">
        <v>423</v>
      </c>
      <c r="B57" s="474"/>
      <c r="C57" s="474"/>
      <c r="D57" s="474"/>
      <c r="E57" s="477" t="s">
        <v>572</v>
      </c>
      <c r="F57" s="478"/>
      <c r="G57" s="478"/>
      <c r="H57" s="478"/>
      <c r="I57" s="478"/>
      <c r="J57" s="478"/>
      <c r="K57" s="478"/>
      <c r="L57" s="478"/>
      <c r="M57" s="479"/>
      <c r="N57" s="477" t="s">
        <v>424</v>
      </c>
      <c r="O57" s="478"/>
      <c r="P57" s="478"/>
      <c r="Q57" s="478"/>
      <c r="R57" s="479"/>
    </row>
    <row r="58" spans="1:24" s="92" customFormat="1" ht="25.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5" customHeight="1">
      <c r="A59" s="99" t="s">
        <v>281</v>
      </c>
      <c r="B59" s="81"/>
      <c r="C59" s="15"/>
      <c r="D59" s="88"/>
      <c r="E59" s="81"/>
      <c r="F59" s="15"/>
      <c r="G59" s="15"/>
      <c r="H59" s="15"/>
      <c r="I59" s="15"/>
      <c r="J59" s="15"/>
      <c r="K59" s="15"/>
      <c r="L59" s="15"/>
      <c r="M59" s="82"/>
      <c r="N59" s="224"/>
      <c r="O59" s="224"/>
      <c r="P59" s="15"/>
      <c r="Q59" s="82"/>
      <c r="R59" s="82"/>
    </row>
    <row r="60" spans="1:24" s="22" customFormat="1" ht="15.65" customHeight="1">
      <c r="A60" s="100" t="s">
        <v>381</v>
      </c>
      <c r="B60" s="81"/>
      <c r="C60" s="15"/>
      <c r="D60" s="88"/>
      <c r="E60" s="81"/>
      <c r="F60" s="15"/>
      <c r="G60" s="15"/>
      <c r="H60" s="15"/>
      <c r="I60" s="15"/>
      <c r="J60" s="15"/>
      <c r="K60" s="15"/>
      <c r="L60" s="15"/>
      <c r="M60" s="82"/>
      <c r="N60" s="224"/>
      <c r="O60" s="224"/>
      <c r="P60" s="15"/>
      <c r="Q60" s="82"/>
      <c r="R60" s="82"/>
    </row>
    <row r="61" spans="1:24" s="22" customFormat="1" ht="15.65" customHeight="1">
      <c r="A61" s="100" t="s">
        <v>283</v>
      </c>
      <c r="B61" s="81"/>
      <c r="C61" s="15"/>
      <c r="D61" s="88"/>
      <c r="E61" s="81"/>
      <c r="F61" s="15"/>
      <c r="G61" s="15"/>
      <c r="H61" s="15"/>
      <c r="I61" s="15"/>
      <c r="J61" s="15"/>
      <c r="K61" s="15"/>
      <c r="L61" s="15"/>
      <c r="M61" s="82"/>
      <c r="N61" s="224"/>
      <c r="O61" s="224"/>
      <c r="P61" s="15"/>
      <c r="Q61" s="82"/>
      <c r="R61" s="82"/>
    </row>
    <row r="62" spans="1:24" s="22" customFormat="1" ht="15.65" customHeight="1">
      <c r="A62" s="100" t="s">
        <v>284</v>
      </c>
      <c r="B62" s="81"/>
      <c r="C62" s="15"/>
      <c r="D62" s="88"/>
      <c r="E62" s="81"/>
      <c r="F62" s="15"/>
      <c r="G62" s="15"/>
      <c r="H62" s="15"/>
      <c r="I62" s="15"/>
      <c r="J62" s="15"/>
      <c r="K62" s="15"/>
      <c r="L62" s="15"/>
      <c r="M62" s="82"/>
      <c r="N62" s="224"/>
      <c r="O62" s="224"/>
      <c r="P62" s="15"/>
      <c r="Q62" s="82"/>
      <c r="R62" s="82"/>
    </row>
    <row r="63" spans="1:24" s="22" customFormat="1" ht="15.65" customHeight="1">
      <c r="A63" s="100" t="s">
        <v>285</v>
      </c>
      <c r="B63" s="81"/>
      <c r="C63" s="15"/>
      <c r="D63" s="88"/>
      <c r="E63" s="81"/>
      <c r="F63" s="15"/>
      <c r="G63" s="15"/>
      <c r="H63" s="15"/>
      <c r="I63" s="15"/>
      <c r="J63" s="15"/>
      <c r="K63" s="15"/>
      <c r="L63" s="15"/>
      <c r="M63" s="82"/>
      <c r="N63" s="224"/>
      <c r="O63" s="224"/>
      <c r="P63" s="15"/>
      <c r="Q63" s="82"/>
      <c r="R63" s="82"/>
    </row>
    <row r="64" spans="1:24" s="22" customFormat="1" ht="15.65" customHeight="1">
      <c r="A64" s="100" t="s">
        <v>286</v>
      </c>
      <c r="B64" s="81"/>
      <c r="C64" s="15"/>
      <c r="D64" s="88"/>
      <c r="E64" s="81"/>
      <c r="F64" s="15"/>
      <c r="G64" s="15"/>
      <c r="H64" s="15"/>
      <c r="I64" s="15"/>
      <c r="J64" s="15"/>
      <c r="K64" s="15"/>
      <c r="L64" s="15"/>
      <c r="M64" s="82"/>
      <c r="N64" s="224"/>
      <c r="O64" s="224"/>
      <c r="P64" s="15"/>
      <c r="Q64" s="82"/>
      <c r="R64" s="82"/>
    </row>
    <row r="65" spans="1:20" s="22" customFormat="1" ht="15.65"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ht="13">
      <c r="A67" s="4"/>
      <c r="B67" s="39"/>
      <c r="C67" s="39"/>
      <c r="D67" s="39"/>
      <c r="E67" s="39"/>
      <c r="F67" s="39"/>
      <c r="G67" s="39"/>
      <c r="H67" s="39"/>
      <c r="I67" s="42"/>
      <c r="J67" s="42"/>
      <c r="K67" s="42"/>
      <c r="L67" s="42"/>
      <c r="M67" s="42"/>
      <c r="N67" s="42"/>
      <c r="O67" s="42"/>
      <c r="P67" s="42"/>
    </row>
    <row r="68" spans="1:20" s="3" customFormat="1" ht="14">
      <c r="B68" s="2"/>
      <c r="C68" s="2"/>
      <c r="D68" s="2"/>
      <c r="E68" s="2"/>
      <c r="F68" s="2"/>
      <c r="G68" s="2"/>
      <c r="H68" s="2"/>
      <c r="I68" s="2"/>
      <c r="J68" s="2"/>
      <c r="K68" s="40"/>
      <c r="L68" s="2"/>
      <c r="M68" s="2"/>
      <c r="N68" s="2"/>
      <c r="O68" s="2"/>
      <c r="P68" s="2"/>
      <c r="Q68" s="22"/>
      <c r="R68" s="22"/>
      <c r="S68" s="22"/>
      <c r="T68" s="22"/>
    </row>
    <row r="69" spans="1:20" s="3" customFormat="1" ht="14">
      <c r="B69" s="2"/>
      <c r="C69" s="2"/>
      <c r="D69" s="2"/>
      <c r="E69" s="2"/>
      <c r="F69" s="2"/>
      <c r="G69" s="2"/>
      <c r="H69" s="2"/>
      <c r="I69" s="2"/>
      <c r="J69" s="2"/>
      <c r="K69" s="41"/>
      <c r="L69" s="2"/>
      <c r="M69" s="2"/>
      <c r="N69" s="2"/>
      <c r="O69" s="2"/>
      <c r="P69" s="2"/>
      <c r="Q69" s="102"/>
      <c r="R69" s="22"/>
      <c r="S69" s="22"/>
      <c r="T69" s="22"/>
    </row>
    <row r="70" spans="1:20" s="3" customFormat="1" ht="14">
      <c r="B70" s="2"/>
      <c r="C70" s="2"/>
      <c r="D70" s="2"/>
      <c r="E70" s="2"/>
      <c r="F70" s="2"/>
      <c r="G70" s="2"/>
      <c r="H70" s="2"/>
      <c r="I70" s="2"/>
      <c r="J70" s="2"/>
      <c r="K70" s="41"/>
      <c r="L70" s="2"/>
      <c r="M70" s="2"/>
      <c r="N70" s="2"/>
      <c r="O70" s="2"/>
      <c r="P70" s="2"/>
    </row>
    <row r="71" spans="1:20" s="3" customFormat="1" ht="14">
      <c r="B71" s="2"/>
      <c r="C71" s="2"/>
      <c r="D71" s="2"/>
      <c r="E71" s="2"/>
      <c r="F71" s="2"/>
      <c r="G71" s="2"/>
      <c r="H71" s="2"/>
      <c r="I71" s="2"/>
      <c r="J71" s="2"/>
      <c r="K71" s="41"/>
      <c r="L71" s="2"/>
      <c r="M71" s="2"/>
      <c r="N71" s="2"/>
      <c r="O71" s="2"/>
      <c r="P71" s="2"/>
    </row>
    <row r="72" spans="1:20" s="3" customFormat="1" ht="14">
      <c r="B72" s="2"/>
      <c r="C72" s="2"/>
      <c r="D72" s="2"/>
      <c r="E72" s="2"/>
      <c r="F72" s="2"/>
      <c r="G72" s="2"/>
      <c r="H72" s="2"/>
      <c r="I72" s="2"/>
      <c r="J72" s="2"/>
      <c r="K72" s="41"/>
      <c r="L72" s="2"/>
      <c r="M72" s="2"/>
      <c r="N72" s="2"/>
      <c r="O72" s="2"/>
      <c r="P72" s="2"/>
    </row>
    <row r="73" spans="1:20" s="3" customFormat="1" ht="14">
      <c r="B73" s="2"/>
      <c r="C73" s="2"/>
      <c r="D73" s="2"/>
      <c r="E73" s="2"/>
      <c r="F73" s="2"/>
      <c r="G73" s="2"/>
      <c r="H73" s="2"/>
      <c r="I73" s="2"/>
      <c r="J73" s="2"/>
      <c r="K73" s="41"/>
      <c r="L73" s="2"/>
      <c r="M73" s="2"/>
      <c r="N73" s="2"/>
      <c r="O73" s="2"/>
      <c r="P73" s="2"/>
    </row>
    <row r="74" spans="1:20" s="3" customFormat="1" ht="14">
      <c r="B74" s="2"/>
      <c r="C74" s="2"/>
      <c r="D74" s="2"/>
      <c r="E74" s="2"/>
      <c r="F74" s="2"/>
      <c r="G74" s="2"/>
      <c r="H74" s="2"/>
      <c r="I74" s="2"/>
      <c r="J74" s="2"/>
      <c r="K74" s="41"/>
      <c r="L74" s="2"/>
      <c r="M74" s="2"/>
      <c r="N74" s="2"/>
      <c r="O74" s="2"/>
      <c r="P74" s="2"/>
    </row>
    <row r="75" spans="1:20" s="3" customFormat="1" ht="14">
      <c r="B75" s="2"/>
      <c r="C75" s="2"/>
      <c r="D75" s="2"/>
      <c r="E75" s="2"/>
      <c r="F75" s="2"/>
      <c r="G75" s="2"/>
      <c r="H75" s="2"/>
      <c r="I75" s="2"/>
      <c r="J75" s="2"/>
      <c r="K75" s="41"/>
      <c r="L75" s="2"/>
      <c r="M75" s="2"/>
      <c r="N75" s="2"/>
      <c r="O75" s="2"/>
      <c r="P75" s="2"/>
    </row>
    <row r="76" spans="1:20" s="3" customFormat="1" ht="14">
      <c r="B76" s="2"/>
      <c r="C76" s="2"/>
      <c r="D76" s="2"/>
      <c r="E76" s="2"/>
      <c r="F76" s="2"/>
      <c r="G76" s="2"/>
      <c r="H76" s="2"/>
      <c r="I76" s="2"/>
      <c r="J76" s="2"/>
      <c r="K76" s="41"/>
      <c r="L76" s="2"/>
      <c r="M76" s="2"/>
      <c r="N76" s="2"/>
      <c r="O76" s="2"/>
      <c r="P76" s="2"/>
    </row>
    <row r="77" spans="1:20" s="3" customFormat="1" ht="14">
      <c r="B77" s="2"/>
      <c r="C77" s="2"/>
      <c r="D77" s="2"/>
      <c r="E77" s="2"/>
      <c r="F77" s="2"/>
      <c r="G77" s="2"/>
      <c r="H77" s="2"/>
      <c r="I77" s="2"/>
      <c r="J77" s="2"/>
      <c r="K77" s="41"/>
      <c r="L77" s="2"/>
      <c r="M77" s="2"/>
      <c r="N77" s="2"/>
      <c r="O77" s="2"/>
      <c r="P77" s="2"/>
    </row>
    <row r="78" spans="1:20" s="3" customFormat="1" ht="14">
      <c r="B78" s="2"/>
      <c r="C78" s="2"/>
      <c r="D78" s="2"/>
      <c r="E78" s="2"/>
      <c r="F78" s="2"/>
      <c r="G78" s="2"/>
      <c r="H78" s="2"/>
      <c r="I78" s="2"/>
      <c r="J78" s="2"/>
      <c r="K78" s="2"/>
      <c r="L78" s="2"/>
      <c r="M78" s="2"/>
      <c r="N78" s="2"/>
      <c r="O78" s="2"/>
      <c r="P78" s="2"/>
    </row>
    <row r="79" spans="1:20" s="3" customFormat="1" ht="14">
      <c r="B79" s="2"/>
      <c r="C79" s="2"/>
      <c r="D79" s="2"/>
      <c r="E79" s="2"/>
      <c r="F79" s="2"/>
      <c r="G79" s="2"/>
      <c r="H79" s="2"/>
      <c r="I79" s="2"/>
      <c r="J79" s="2"/>
      <c r="K79" s="2"/>
      <c r="L79" s="2"/>
      <c r="M79" s="2"/>
      <c r="N79" s="2"/>
      <c r="O79" s="2"/>
      <c r="P79" s="2"/>
    </row>
    <row r="80" spans="1:20" s="3" customFormat="1" ht="14">
      <c r="B80" s="2"/>
      <c r="C80" s="2"/>
      <c r="D80" s="2"/>
      <c r="E80" s="2"/>
      <c r="F80" s="2"/>
      <c r="G80" s="2"/>
      <c r="H80" s="2"/>
      <c r="I80" s="2"/>
      <c r="J80" s="2"/>
      <c r="K80" s="2"/>
      <c r="L80" s="2"/>
      <c r="M80" s="2"/>
      <c r="N80" s="2"/>
      <c r="O80" s="2"/>
      <c r="P80" s="2"/>
    </row>
    <row r="81" spans="2:16" s="3" customFormat="1" ht="14">
      <c r="B81" s="2"/>
      <c r="C81" s="2"/>
      <c r="D81" s="2"/>
      <c r="E81" s="2"/>
      <c r="F81" s="2"/>
      <c r="G81" s="2"/>
      <c r="H81" s="2"/>
      <c r="I81" s="2"/>
      <c r="J81" s="2"/>
      <c r="K81" s="2"/>
      <c r="L81" s="2"/>
      <c r="M81" s="2"/>
      <c r="N81" s="2"/>
      <c r="O81" s="2"/>
      <c r="P81" s="2"/>
    </row>
    <row r="82" spans="2:16" s="3" customFormat="1" ht="14">
      <c r="B82" s="2"/>
      <c r="C82" s="2"/>
      <c r="D82" s="2"/>
      <c r="E82" s="2"/>
      <c r="F82" s="2"/>
      <c r="G82" s="2"/>
      <c r="H82" s="2"/>
      <c r="I82" s="2"/>
      <c r="J82" s="2"/>
      <c r="K82" s="2"/>
      <c r="L82" s="2"/>
      <c r="M82" s="2"/>
      <c r="N82" s="2"/>
      <c r="O82" s="2"/>
      <c r="P82" s="2"/>
    </row>
    <row r="83" spans="2:16" s="3" customFormat="1" ht="14">
      <c r="B83" s="2"/>
      <c r="C83" s="2"/>
      <c r="D83" s="2"/>
      <c r="E83" s="2"/>
      <c r="F83" s="2"/>
      <c r="G83" s="2"/>
      <c r="H83" s="2"/>
      <c r="I83" s="2"/>
      <c r="J83" s="2"/>
      <c r="K83" s="2"/>
      <c r="L83" s="2"/>
      <c r="M83" s="2"/>
      <c r="N83" s="2"/>
      <c r="O83" s="2"/>
      <c r="P83" s="2"/>
    </row>
    <row r="84" spans="2:16" s="3" customFormat="1" ht="14">
      <c r="B84" s="2"/>
      <c r="C84" s="2"/>
      <c r="D84" s="2"/>
      <c r="E84" s="2"/>
      <c r="F84" s="2"/>
      <c r="G84" s="2"/>
      <c r="H84" s="2"/>
      <c r="I84" s="2"/>
      <c r="J84" s="2"/>
      <c r="K84" s="2"/>
      <c r="L84" s="2"/>
      <c r="M84" s="2"/>
      <c r="N84" s="2"/>
      <c r="O84" s="2"/>
      <c r="P84" s="2"/>
    </row>
    <row r="85" spans="2:16" s="3" customFormat="1" ht="14">
      <c r="B85" s="2"/>
      <c r="C85" s="2"/>
      <c r="D85" s="2"/>
      <c r="E85" s="2"/>
      <c r="F85" s="2"/>
      <c r="G85" s="2"/>
      <c r="H85" s="2"/>
      <c r="I85" s="2"/>
      <c r="J85" s="2"/>
      <c r="K85" s="2"/>
      <c r="L85" s="2"/>
      <c r="M85" s="2"/>
      <c r="N85" s="2"/>
      <c r="O85" s="2"/>
      <c r="P85" s="2"/>
    </row>
    <row r="86" spans="2:16" s="3" customFormat="1" ht="14">
      <c r="B86" s="2"/>
      <c r="C86" s="2"/>
      <c r="D86" s="2"/>
      <c r="E86" s="2"/>
      <c r="F86" s="2"/>
      <c r="G86" s="2"/>
      <c r="H86" s="2"/>
      <c r="I86" s="2"/>
      <c r="J86" s="2"/>
      <c r="K86" s="2"/>
      <c r="L86" s="2"/>
      <c r="M86" s="2"/>
      <c r="N86" s="2"/>
      <c r="O86" s="2"/>
      <c r="P86" s="2"/>
    </row>
    <row r="87" spans="2:16" s="3" customFormat="1" ht="14">
      <c r="B87" s="2"/>
      <c r="C87" s="2"/>
      <c r="D87" s="2"/>
      <c r="E87" s="2"/>
      <c r="F87" s="2"/>
      <c r="G87" s="2"/>
      <c r="H87" s="2"/>
      <c r="I87" s="2"/>
      <c r="J87" s="2"/>
      <c r="K87" s="2"/>
      <c r="L87" s="2"/>
      <c r="M87" s="2"/>
      <c r="N87" s="2"/>
      <c r="O87" s="2"/>
      <c r="P87" s="2"/>
    </row>
    <row r="88" spans="2:16" s="3" customFormat="1" ht="14">
      <c r="B88" s="2"/>
      <c r="C88" s="2"/>
      <c r="D88" s="2"/>
      <c r="E88" s="2"/>
      <c r="F88" s="2"/>
      <c r="G88" s="2"/>
      <c r="H88" s="2"/>
      <c r="I88" s="2"/>
      <c r="J88" s="2"/>
      <c r="K88" s="2"/>
      <c r="L88" s="2"/>
      <c r="M88" s="2"/>
      <c r="N88" s="2"/>
      <c r="O88" s="2"/>
      <c r="P88" s="2"/>
    </row>
    <row r="89" spans="2:16" s="3" customFormat="1" ht="14">
      <c r="B89" s="2"/>
      <c r="C89" s="2"/>
      <c r="D89" s="2"/>
      <c r="E89" s="2"/>
      <c r="F89" s="2"/>
      <c r="G89" s="2"/>
      <c r="H89" s="2"/>
      <c r="I89" s="2"/>
      <c r="J89" s="2"/>
      <c r="K89" s="2"/>
      <c r="L89" s="2"/>
      <c r="M89" s="2"/>
      <c r="N89" s="2"/>
      <c r="O89" s="2"/>
      <c r="P89" s="2"/>
    </row>
    <row r="90" spans="2:16" s="3" customFormat="1" ht="14">
      <c r="B90" s="2"/>
      <c r="C90" s="2"/>
      <c r="D90" s="2"/>
      <c r="E90" s="2"/>
      <c r="F90" s="2"/>
      <c r="G90" s="2"/>
      <c r="H90" s="2"/>
      <c r="I90" s="2"/>
      <c r="J90" s="2"/>
      <c r="K90" s="2"/>
      <c r="L90" s="2"/>
      <c r="M90" s="2"/>
      <c r="N90" s="2"/>
      <c r="O90" s="2"/>
      <c r="P90" s="2"/>
    </row>
    <row r="91" spans="2:16" s="3" customFormat="1" ht="14">
      <c r="B91" s="2"/>
      <c r="C91" s="2"/>
      <c r="D91" s="2"/>
      <c r="E91" s="2"/>
      <c r="F91" s="2"/>
      <c r="G91" s="2"/>
      <c r="H91" s="2"/>
      <c r="I91" s="2"/>
      <c r="J91" s="2"/>
      <c r="K91" s="2"/>
      <c r="L91" s="2"/>
      <c r="M91" s="2"/>
      <c r="N91" s="2"/>
      <c r="O91" s="2"/>
      <c r="P91" s="2"/>
    </row>
    <row r="92" spans="2:16" s="3" customFormat="1" ht="14">
      <c r="B92" s="2"/>
      <c r="C92" s="2"/>
      <c r="D92" s="2"/>
      <c r="E92" s="2"/>
      <c r="F92" s="2"/>
      <c r="G92" s="2"/>
      <c r="H92" s="2"/>
      <c r="I92" s="2"/>
      <c r="J92" s="2"/>
      <c r="K92" s="2"/>
      <c r="L92" s="2"/>
      <c r="M92" s="2"/>
      <c r="N92" s="2"/>
      <c r="O92" s="2"/>
      <c r="P92" s="2"/>
    </row>
    <row r="93" spans="2:16" s="3" customFormat="1" ht="14">
      <c r="B93" s="2"/>
      <c r="C93" s="2"/>
      <c r="D93" s="2"/>
      <c r="E93" s="2"/>
      <c r="F93" s="2"/>
      <c r="G93" s="2"/>
      <c r="H93" s="2"/>
      <c r="I93" s="2"/>
      <c r="J93" s="2"/>
      <c r="K93" s="2"/>
      <c r="L93" s="2"/>
      <c r="M93" s="2"/>
      <c r="N93" s="2"/>
      <c r="O93" s="2"/>
      <c r="P93" s="2"/>
    </row>
    <row r="94" spans="2:16" s="3" customFormat="1" ht="14">
      <c r="B94" s="2"/>
      <c r="C94" s="2"/>
      <c r="D94" s="2"/>
      <c r="E94" s="2"/>
      <c r="F94" s="2"/>
      <c r="G94" s="2"/>
      <c r="H94" s="2"/>
      <c r="I94" s="2"/>
      <c r="J94" s="2"/>
      <c r="K94" s="2"/>
      <c r="L94" s="2"/>
      <c r="M94" s="2"/>
      <c r="N94" s="2"/>
      <c r="O94" s="2"/>
      <c r="P94" s="2"/>
    </row>
    <row r="95" spans="2:16" s="3" customFormat="1" ht="14">
      <c r="B95" s="2"/>
      <c r="C95" s="2"/>
      <c r="D95" s="2"/>
      <c r="E95" s="2"/>
      <c r="F95" s="2"/>
      <c r="G95" s="2"/>
      <c r="H95" s="2"/>
      <c r="I95" s="2"/>
      <c r="J95" s="2"/>
      <c r="K95" s="2"/>
      <c r="L95" s="2"/>
      <c r="M95" s="2"/>
      <c r="N95" s="2"/>
      <c r="O95" s="2"/>
      <c r="P95" s="2"/>
    </row>
    <row r="96" spans="2:16" s="3" customFormat="1" ht="14">
      <c r="B96" s="2"/>
      <c r="C96" s="2"/>
      <c r="D96" s="2"/>
      <c r="E96" s="2"/>
      <c r="F96" s="2"/>
      <c r="G96" s="2"/>
      <c r="H96" s="2"/>
      <c r="I96" s="2"/>
      <c r="J96" s="2"/>
      <c r="K96" s="2"/>
      <c r="L96" s="2"/>
      <c r="M96" s="2"/>
      <c r="N96" s="2"/>
      <c r="O96" s="2"/>
      <c r="P96" s="2"/>
    </row>
    <row r="97" spans="2:20" s="3" customFormat="1" ht="14">
      <c r="B97" s="2"/>
      <c r="C97" s="2"/>
      <c r="D97" s="2"/>
      <c r="E97" s="2"/>
      <c r="F97" s="2"/>
      <c r="G97" s="2"/>
      <c r="H97" s="2"/>
      <c r="I97" s="2"/>
      <c r="J97" s="2"/>
      <c r="K97" s="2"/>
      <c r="L97" s="2"/>
      <c r="M97" s="2"/>
      <c r="N97" s="2"/>
      <c r="O97" s="2"/>
      <c r="P97" s="2"/>
    </row>
    <row r="98" spans="2:20" s="3" customFormat="1" ht="14">
      <c r="B98" s="2"/>
      <c r="C98" s="2"/>
      <c r="D98" s="2"/>
      <c r="E98" s="2"/>
      <c r="F98" s="2"/>
      <c r="G98" s="2"/>
      <c r="H98" s="2"/>
      <c r="I98" s="2"/>
      <c r="J98" s="2"/>
      <c r="K98" s="2"/>
      <c r="L98" s="2"/>
      <c r="M98" s="2"/>
      <c r="N98" s="2"/>
      <c r="O98" s="2"/>
      <c r="P98" s="2"/>
    </row>
    <row r="99" spans="2:20" s="3" customFormat="1" ht="14">
      <c r="B99" s="2"/>
      <c r="C99" s="2"/>
      <c r="D99" s="2"/>
      <c r="E99" s="2"/>
      <c r="F99" s="2"/>
      <c r="G99" s="2"/>
      <c r="H99" s="2"/>
      <c r="I99" s="2"/>
      <c r="J99" s="2"/>
      <c r="K99" s="2"/>
      <c r="L99" s="2"/>
      <c r="M99" s="2"/>
      <c r="N99" s="2"/>
      <c r="O99" s="2"/>
      <c r="P99" s="2"/>
    </row>
    <row r="100" spans="2:20" s="3" customFormat="1" ht="14">
      <c r="B100" s="2"/>
      <c r="C100" s="2"/>
      <c r="D100" s="2"/>
      <c r="E100" s="2"/>
      <c r="F100" s="2"/>
      <c r="G100" s="2"/>
      <c r="H100" s="2"/>
      <c r="I100" s="2"/>
      <c r="J100" s="2"/>
      <c r="K100" s="2"/>
      <c r="L100" s="2"/>
      <c r="M100" s="2"/>
      <c r="N100" s="2"/>
      <c r="O100" s="2"/>
      <c r="P100" s="2"/>
    </row>
    <row r="101" spans="2:20" ht="14">
      <c r="Q101" s="3"/>
      <c r="R101" s="3"/>
      <c r="S101" s="3"/>
      <c r="T101" s="3"/>
    </row>
    <row r="102" spans="2:20" ht="14">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5"/>
  <cols>
    <col min="1" max="1" width="15.1796875" bestFit="1" customWidth="1"/>
  </cols>
  <sheetData>
    <row r="4" spans="1:21">
      <c r="C4" s="317" t="s">
        <v>10</v>
      </c>
      <c r="D4" s="318">
        <f>VLOOKUP(Cover!A6,Cover!B319:D335,2,FALSE)</f>
        <v>2025</v>
      </c>
      <c r="E4" s="339" t="str">
        <f>Cover!A10</f>
        <v>North West Fire Control</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796875" defaultRowHeight="12.5"/>
  <cols>
    <col min="1" max="1" width="24" style="104" customWidth="1"/>
    <col min="2" max="14" width="17.1796875" style="105" customWidth="1"/>
    <col min="15" max="23" width="16.7265625" style="104" customWidth="1"/>
    <col min="24" max="27" width="9.1796875" style="104"/>
    <col min="28" max="28" width="5.7265625" style="104" customWidth="1"/>
    <col min="29" max="29" width="9.1796875" style="104" customWidth="1"/>
    <col min="30" max="42" width="5.81640625" style="104" customWidth="1"/>
    <col min="43" max="46" width="9.1796875" style="104" customWidth="1"/>
    <col min="47" max="58" width="6.1796875" style="104" customWidth="1"/>
    <col min="59" max="61" width="9.1796875" style="104" customWidth="1"/>
    <col min="62" max="16384" width="9.179687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573</v>
      </c>
      <c r="B8" s="496"/>
      <c r="C8" s="496"/>
      <c r="D8" s="496"/>
      <c r="E8" s="496"/>
      <c r="F8" s="496"/>
      <c r="G8" s="496"/>
      <c r="H8" s="496"/>
      <c r="I8" s="496"/>
      <c r="J8" s="496"/>
      <c r="K8" s="496"/>
      <c r="L8" s="496"/>
      <c r="M8" s="496"/>
      <c r="N8" s="496"/>
      <c r="O8" s="496"/>
      <c r="P8" s="496"/>
      <c r="Q8" s="496"/>
      <c r="R8" s="496"/>
      <c r="S8" s="496"/>
      <c r="T8" s="496"/>
      <c r="U8" s="497"/>
    </row>
    <row r="9" spans="1:71" s="116" customFormat="1" ht="30.65"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49999999999999"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5"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5"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5"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5"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5"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4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574</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ht="13">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574</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6"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ht="13">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ht="13">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5"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5"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5"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5"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575</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4.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4.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
      <c r="B59" s="113"/>
      <c r="C59" s="113"/>
      <c r="D59" s="113"/>
      <c r="E59" s="113"/>
      <c r="F59" s="113"/>
      <c r="G59" s="113"/>
      <c r="H59" s="113"/>
      <c r="I59" s="113"/>
      <c r="J59" s="113"/>
      <c r="K59" s="113"/>
      <c r="L59" s="113"/>
      <c r="M59" s="113"/>
      <c r="N59" s="113"/>
      <c r="S59" s="22"/>
      <c r="T59" s="22"/>
      <c r="U59" s="22"/>
      <c r="V59" s="22"/>
      <c r="W59" s="22"/>
      <c r="X59" s="22"/>
      <c r="Y59" s="22"/>
    </row>
    <row r="60" spans="1:26" s="109" customFormat="1" ht="14">
      <c r="B60" s="113"/>
      <c r="C60" s="113"/>
      <c r="D60" s="113"/>
      <c r="E60" s="113"/>
      <c r="F60" s="113"/>
      <c r="G60" s="113"/>
      <c r="H60" s="113"/>
      <c r="I60" s="113"/>
      <c r="J60" s="113"/>
      <c r="K60" s="113"/>
      <c r="L60" s="113"/>
      <c r="M60" s="113"/>
      <c r="N60" s="113"/>
      <c r="S60" s="22"/>
      <c r="T60" s="22"/>
      <c r="U60" s="3"/>
      <c r="V60" s="22"/>
      <c r="W60" s="22"/>
      <c r="X60" s="22"/>
      <c r="Y60" s="22"/>
    </row>
    <row r="61" spans="1:26" s="109" customFormat="1" ht="14">
      <c r="B61" s="113"/>
      <c r="C61" s="113"/>
      <c r="D61" s="113"/>
      <c r="E61" s="113"/>
      <c r="F61" s="113"/>
      <c r="G61" s="113"/>
      <c r="H61" s="113"/>
      <c r="I61" s="113"/>
      <c r="J61" s="113"/>
      <c r="K61" s="113"/>
      <c r="L61" s="113"/>
      <c r="M61" s="113"/>
      <c r="N61" s="113"/>
      <c r="V61" s="22"/>
      <c r="W61" s="22"/>
      <c r="X61" s="22"/>
      <c r="Y61" s="22"/>
    </row>
    <row r="62" spans="1:26" s="109" customFormat="1" ht="14">
      <c r="B62" s="113"/>
      <c r="C62" s="113"/>
      <c r="D62" s="113"/>
      <c r="E62" s="113"/>
      <c r="F62" s="113"/>
      <c r="G62" s="113"/>
      <c r="H62" s="113"/>
      <c r="I62" s="113"/>
      <c r="J62" s="113"/>
      <c r="K62" s="113"/>
      <c r="L62" s="113"/>
      <c r="M62" s="113"/>
      <c r="N62" s="113"/>
      <c r="V62" s="22"/>
      <c r="W62" s="22"/>
      <c r="X62" s="22"/>
      <c r="Y62" s="22"/>
    </row>
    <row r="63" spans="1:26" s="109" customFormat="1" ht="14">
      <c r="B63" s="113"/>
      <c r="C63" s="113"/>
      <c r="D63" s="113"/>
      <c r="E63" s="113"/>
      <c r="F63" s="113"/>
      <c r="G63" s="113"/>
      <c r="H63" s="113"/>
      <c r="I63" s="113"/>
      <c r="J63" s="113"/>
      <c r="K63" s="113"/>
      <c r="L63" s="113"/>
      <c r="M63" s="113"/>
      <c r="N63" s="113"/>
      <c r="V63" s="22"/>
      <c r="W63" s="22"/>
      <c r="X63" s="22"/>
      <c r="Y63" s="22"/>
    </row>
    <row r="64" spans="1:26" s="109" customFormat="1" ht="14">
      <c r="B64" s="113"/>
      <c r="C64" s="113"/>
      <c r="D64" s="113"/>
      <c r="E64" s="113"/>
      <c r="F64" s="113"/>
      <c r="G64" s="113"/>
      <c r="H64" s="113"/>
      <c r="I64" s="113"/>
      <c r="J64" s="113"/>
      <c r="K64" s="113"/>
      <c r="L64" s="113"/>
      <c r="M64" s="113"/>
      <c r="N64" s="113"/>
      <c r="V64" s="22"/>
      <c r="W64" s="22"/>
      <c r="X64" s="22"/>
      <c r="Y64" s="22"/>
    </row>
    <row r="65" spans="1:25" s="109" customFormat="1" ht="14">
      <c r="B65" s="113"/>
      <c r="C65" s="113"/>
      <c r="D65" s="113"/>
      <c r="E65" s="113"/>
      <c r="F65" s="113"/>
      <c r="G65" s="113"/>
      <c r="H65" s="113"/>
      <c r="I65" s="113"/>
      <c r="J65" s="113"/>
      <c r="K65" s="113"/>
      <c r="L65" s="113"/>
      <c r="M65" s="113"/>
      <c r="N65" s="113"/>
      <c r="V65" s="22"/>
      <c r="W65" s="22"/>
      <c r="X65" s="22"/>
      <c r="Y65" s="22"/>
    </row>
    <row r="66" spans="1:25" s="109" customFormat="1" ht="14">
      <c r="B66" s="113"/>
      <c r="C66" s="113"/>
      <c r="D66" s="113"/>
      <c r="E66" s="113"/>
      <c r="F66" s="113"/>
      <c r="G66" s="113"/>
      <c r="H66" s="113"/>
      <c r="I66" s="113"/>
      <c r="J66" s="113"/>
      <c r="K66" s="113"/>
      <c r="L66" s="113"/>
      <c r="M66" s="113"/>
      <c r="N66" s="113"/>
      <c r="V66" s="3"/>
      <c r="W66" s="3"/>
      <c r="X66" s="3"/>
      <c r="Y66" s="3"/>
    </row>
    <row r="67" spans="1:25" s="109" customFormat="1" ht="14">
      <c r="B67" s="113"/>
      <c r="C67" s="113"/>
      <c r="D67" s="113"/>
      <c r="E67" s="113"/>
      <c r="F67" s="113"/>
      <c r="G67" s="113"/>
      <c r="H67" s="113"/>
      <c r="I67" s="113"/>
      <c r="J67" s="113"/>
      <c r="K67" s="113"/>
      <c r="L67" s="113"/>
      <c r="M67" s="113"/>
      <c r="N67" s="113"/>
    </row>
    <row r="68" spans="1:25" s="109" customFormat="1" ht="14">
      <c r="B68" s="113"/>
      <c r="C68" s="113"/>
      <c r="D68" s="113"/>
      <c r="E68" s="113"/>
      <c r="F68" s="113"/>
      <c r="G68" s="113"/>
      <c r="H68" s="113"/>
      <c r="I68" s="113"/>
      <c r="J68" s="113"/>
      <c r="K68" s="113"/>
      <c r="L68" s="113"/>
      <c r="M68" s="113"/>
      <c r="N68" s="113"/>
    </row>
    <row r="69" spans="1:25" s="109" customFormat="1" ht="14">
      <c r="B69" s="113"/>
      <c r="C69" s="113"/>
      <c r="D69" s="113"/>
      <c r="E69" s="113"/>
      <c r="F69" s="113"/>
      <c r="G69" s="113"/>
      <c r="H69" s="113"/>
      <c r="I69" s="113"/>
      <c r="J69" s="113"/>
      <c r="K69" s="113"/>
      <c r="L69" s="113"/>
      <c r="M69" s="113"/>
      <c r="N69" s="113"/>
    </row>
    <row r="70" spans="1:25" s="109" customFormat="1" ht="14">
      <c r="B70" s="113"/>
      <c r="C70" s="113"/>
      <c r="D70" s="113"/>
      <c r="E70" s="113"/>
      <c r="F70" s="113"/>
      <c r="G70" s="113"/>
      <c r="H70" s="113"/>
      <c r="I70" s="113"/>
      <c r="J70" s="113"/>
      <c r="K70" s="113"/>
      <c r="L70" s="113"/>
      <c r="M70" s="113"/>
      <c r="N70" s="113"/>
    </row>
    <row r="71" spans="1:25" s="109" customFormat="1" ht="14">
      <c r="B71" s="113"/>
      <c r="C71" s="113"/>
      <c r="D71" s="113"/>
      <c r="E71" s="113"/>
      <c r="F71" s="113"/>
      <c r="G71" s="113"/>
      <c r="H71" s="113"/>
      <c r="I71" s="113"/>
      <c r="J71" s="113"/>
      <c r="K71" s="113"/>
      <c r="L71" s="113"/>
      <c r="M71" s="113"/>
      <c r="N71" s="113"/>
    </row>
    <row r="72" spans="1:25" s="109" customFormat="1" ht="14">
      <c r="B72" s="113"/>
      <c r="C72" s="113"/>
      <c r="D72" s="113"/>
      <c r="E72" s="113"/>
      <c r="F72" s="113"/>
      <c r="G72" s="113"/>
      <c r="H72" s="113"/>
      <c r="I72" s="113"/>
      <c r="J72" s="113"/>
      <c r="K72" s="113"/>
      <c r="L72" s="113"/>
      <c r="M72" s="113"/>
      <c r="N72" s="113"/>
    </row>
    <row r="73" spans="1:25" s="109" customFormat="1" ht="14">
      <c r="B73" s="113"/>
      <c r="C73" s="113"/>
      <c r="D73" s="113"/>
      <c r="E73" s="113"/>
      <c r="F73" s="113"/>
      <c r="G73" s="113"/>
      <c r="H73" s="113"/>
      <c r="I73" s="113"/>
      <c r="J73" s="113"/>
      <c r="K73" s="113"/>
      <c r="L73" s="113"/>
      <c r="M73" s="113"/>
      <c r="N73" s="113"/>
    </row>
    <row r="74" spans="1:25" s="109" customFormat="1" ht="14">
      <c r="B74" s="113"/>
      <c r="C74" s="113"/>
      <c r="D74" s="113"/>
      <c r="E74" s="113"/>
      <c r="F74" s="113"/>
      <c r="G74" s="113"/>
      <c r="H74" s="113"/>
      <c r="I74" s="113"/>
      <c r="J74" s="113"/>
      <c r="K74" s="113"/>
      <c r="L74" s="113"/>
      <c r="M74" s="113"/>
      <c r="N74" s="113"/>
    </row>
    <row r="75" spans="1:25" s="109" customFormat="1" ht="14">
      <c r="A75" s="104"/>
      <c r="B75" s="105"/>
      <c r="C75" s="105"/>
      <c r="D75" s="105"/>
      <c r="E75" s="105"/>
      <c r="F75" s="105"/>
      <c r="G75" s="105"/>
      <c r="H75" s="105"/>
      <c r="I75" s="105"/>
      <c r="J75" s="105"/>
      <c r="K75" s="105"/>
      <c r="L75" s="105"/>
      <c r="M75" s="105"/>
      <c r="N75" s="105"/>
      <c r="O75" s="104"/>
      <c r="P75" s="104"/>
      <c r="Q75" s="104"/>
      <c r="R75" s="104"/>
    </row>
    <row r="76" spans="1:25" s="109" customFormat="1" ht="14">
      <c r="A76" s="104"/>
      <c r="B76" s="105"/>
      <c r="C76" s="105"/>
      <c r="D76" s="105"/>
      <c r="E76" s="105"/>
      <c r="F76" s="105"/>
      <c r="G76" s="105"/>
      <c r="H76" s="105"/>
      <c r="I76" s="105"/>
      <c r="J76" s="105"/>
      <c r="K76" s="105"/>
      <c r="L76" s="105"/>
      <c r="M76" s="105"/>
      <c r="N76" s="105"/>
      <c r="O76" s="104"/>
      <c r="P76" s="104"/>
      <c r="Q76" s="104"/>
      <c r="R76" s="104"/>
    </row>
    <row r="77" spans="1:25" s="109" customFormat="1" ht="14">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5"/>
  <cols>
    <col min="1" max="1" width="15.1796875" bestFit="1" customWidth="1"/>
  </cols>
  <sheetData>
    <row r="4" spans="1:26">
      <c r="C4" s="317" t="s">
        <v>12</v>
      </c>
      <c r="D4" s="318">
        <f>VLOOKUP(Cover!A6,Cover!B319:D335,2,FALSE)</f>
        <v>2025</v>
      </c>
      <c r="E4" s="339" t="str">
        <f>Cover!A10</f>
        <v>North West Fire Control</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796875" defaultRowHeight="12.5"/>
  <cols>
    <col min="1" max="1" width="24" style="104" customWidth="1"/>
    <col min="2" max="14" width="17.1796875" style="105" customWidth="1"/>
    <col min="15" max="26" width="16.7265625" style="104" customWidth="1"/>
    <col min="27" max="27" width="9.1796875" style="104"/>
    <col min="28" max="28" width="5.7265625" style="104" customWidth="1"/>
    <col min="29" max="29" width="9.1796875" style="104" customWidth="1"/>
    <col min="30" max="42" width="5.81640625" style="104" customWidth="1"/>
    <col min="43" max="46" width="9.1796875" style="104" customWidth="1"/>
    <col min="47" max="58" width="6.1796875" style="104" customWidth="1"/>
    <col min="59" max="61" width="9.1796875" style="104" customWidth="1"/>
    <col min="62" max="16384" width="9.179687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576</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5"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49999999999999"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5"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5"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5"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5"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5"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577</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ht="13">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577</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6"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ht="13">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ht="13">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5"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5"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5"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5"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4.5" thickBot="1">
      <c r="A49" s="473" t="s">
        <v>452</v>
      </c>
      <c r="B49" s="474"/>
      <c r="C49" s="474"/>
      <c r="D49" s="474"/>
      <c r="E49" s="477" t="s">
        <v>578</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4.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
      <c r="B57" s="113"/>
      <c r="C57" s="113"/>
      <c r="D57" s="113"/>
      <c r="E57" s="113"/>
      <c r="F57" s="113"/>
      <c r="G57" s="113"/>
      <c r="H57" s="113"/>
      <c r="I57" s="113"/>
      <c r="J57" s="113"/>
      <c r="K57" s="113"/>
      <c r="L57" s="113"/>
      <c r="M57" s="113"/>
      <c r="N57" s="113"/>
      <c r="S57" s="22"/>
      <c r="T57" s="22"/>
      <c r="U57" s="22"/>
      <c r="V57" s="22"/>
      <c r="W57" s="22"/>
      <c r="X57" s="22"/>
    </row>
    <row r="58" spans="1:26" s="109" customFormat="1" ht="14">
      <c r="B58" s="113"/>
      <c r="C58" s="113"/>
      <c r="D58" s="113"/>
      <c r="E58" s="113"/>
      <c r="F58" s="113"/>
      <c r="G58" s="113"/>
      <c r="H58" s="113"/>
      <c r="I58" s="113"/>
      <c r="J58" s="113"/>
      <c r="K58" s="113"/>
      <c r="L58" s="113"/>
      <c r="M58" s="113"/>
      <c r="N58" s="113"/>
      <c r="S58" s="22"/>
      <c r="T58" s="22"/>
      <c r="U58" s="22"/>
      <c r="V58" s="22"/>
      <c r="W58" s="22"/>
      <c r="X58" s="22"/>
    </row>
    <row r="59" spans="1:26" s="109" customFormat="1" ht="14">
      <c r="B59" s="113"/>
      <c r="C59" s="113"/>
      <c r="D59" s="113"/>
      <c r="E59" s="113"/>
      <c r="F59" s="113"/>
      <c r="G59" s="113"/>
      <c r="H59" s="113"/>
      <c r="I59" s="113"/>
      <c r="J59" s="113"/>
      <c r="K59" s="113"/>
      <c r="L59" s="113"/>
      <c r="M59" s="113"/>
      <c r="N59" s="113"/>
      <c r="S59" s="22"/>
      <c r="T59" s="22"/>
      <c r="U59" s="22"/>
      <c r="V59" s="22"/>
      <c r="W59" s="22"/>
      <c r="X59" s="22"/>
    </row>
    <row r="60" spans="1:26" s="109" customFormat="1" ht="14">
      <c r="B60" s="113"/>
      <c r="C60" s="113"/>
      <c r="D60" s="113"/>
      <c r="E60" s="113"/>
      <c r="F60" s="113"/>
      <c r="G60" s="113"/>
      <c r="H60" s="113"/>
      <c r="I60" s="113"/>
      <c r="J60" s="113"/>
      <c r="K60" s="113"/>
      <c r="L60" s="113"/>
      <c r="M60" s="113"/>
      <c r="N60" s="113"/>
      <c r="S60" s="22"/>
      <c r="T60" s="22"/>
      <c r="U60" s="22"/>
      <c r="V60" s="22"/>
      <c r="W60" s="22"/>
      <c r="X60" s="22"/>
    </row>
    <row r="61" spans="1:26" s="109" customFormat="1" ht="14">
      <c r="B61" s="113"/>
      <c r="C61" s="113"/>
      <c r="D61" s="113"/>
      <c r="E61" s="113"/>
      <c r="F61" s="113"/>
      <c r="G61" s="113"/>
      <c r="H61" s="113"/>
      <c r="I61" s="113"/>
      <c r="J61" s="113"/>
      <c r="K61" s="113"/>
      <c r="L61" s="113"/>
      <c r="M61" s="113"/>
      <c r="N61" s="113"/>
      <c r="S61" s="22"/>
      <c r="T61" s="22"/>
      <c r="U61" s="22"/>
      <c r="V61" s="22"/>
      <c r="W61" s="22"/>
      <c r="X61" s="22"/>
    </row>
    <row r="62" spans="1:26" s="109" customFormat="1" ht="14">
      <c r="B62" s="113"/>
      <c r="C62" s="113"/>
      <c r="D62" s="113"/>
      <c r="E62" s="113"/>
      <c r="F62" s="113"/>
      <c r="G62" s="113"/>
      <c r="H62" s="113"/>
      <c r="I62" s="113"/>
      <c r="J62" s="113"/>
      <c r="K62" s="113"/>
      <c r="L62" s="113"/>
      <c r="M62" s="113"/>
      <c r="N62" s="113"/>
      <c r="S62" s="22"/>
      <c r="T62" s="22"/>
      <c r="U62" s="22"/>
      <c r="V62" s="22"/>
      <c r="W62" s="22"/>
      <c r="X62" s="22"/>
    </row>
    <row r="63" spans="1:26" s="109" customFormat="1" ht="14">
      <c r="B63" s="113"/>
      <c r="C63" s="113"/>
      <c r="D63" s="113"/>
      <c r="E63" s="113"/>
      <c r="F63" s="113"/>
      <c r="G63" s="113"/>
      <c r="H63" s="113"/>
      <c r="I63" s="113"/>
      <c r="J63" s="113"/>
      <c r="K63" s="113"/>
      <c r="L63" s="113"/>
      <c r="M63" s="113"/>
      <c r="N63" s="113"/>
    </row>
    <row r="64" spans="1:26" s="109" customFormat="1" ht="14">
      <c r="B64" s="113"/>
      <c r="C64" s="113"/>
      <c r="D64" s="113"/>
      <c r="E64" s="113"/>
      <c r="F64" s="113"/>
      <c r="G64" s="113"/>
      <c r="H64" s="113"/>
      <c r="I64" s="113"/>
      <c r="J64" s="113"/>
      <c r="K64" s="113"/>
      <c r="L64" s="113"/>
      <c r="M64" s="113"/>
      <c r="N64" s="113"/>
    </row>
    <row r="65" spans="1:26" s="109" customFormat="1" ht="14">
      <c r="B65" s="113"/>
      <c r="C65" s="113"/>
      <c r="D65" s="113"/>
      <c r="E65" s="113"/>
      <c r="F65" s="113"/>
      <c r="G65" s="113"/>
      <c r="H65" s="113"/>
      <c r="I65" s="113"/>
      <c r="J65" s="113"/>
      <c r="K65" s="113"/>
      <c r="L65" s="113"/>
      <c r="M65" s="113"/>
      <c r="N65" s="113"/>
    </row>
    <row r="66" spans="1:26" s="109" customFormat="1" ht="14">
      <c r="B66" s="113"/>
      <c r="C66" s="113"/>
      <c r="D66" s="113"/>
      <c r="E66" s="113"/>
      <c r="F66" s="113"/>
      <c r="G66" s="113"/>
      <c r="H66" s="113"/>
      <c r="I66" s="113"/>
      <c r="J66" s="113"/>
      <c r="K66" s="113"/>
      <c r="L66" s="113"/>
      <c r="M66" s="113"/>
      <c r="N66" s="113"/>
    </row>
    <row r="67" spans="1:26" s="109" customFormat="1" ht="14">
      <c r="B67" s="113"/>
      <c r="C67" s="113"/>
      <c r="D67" s="113"/>
      <c r="E67" s="113"/>
      <c r="F67" s="113"/>
      <c r="G67" s="113"/>
      <c r="H67" s="113"/>
      <c r="I67" s="113"/>
      <c r="J67" s="113"/>
      <c r="K67" s="113"/>
      <c r="L67" s="113"/>
      <c r="M67" s="113"/>
      <c r="N67" s="113"/>
    </row>
    <row r="68" spans="1:26" s="109" customFormat="1" ht="14">
      <c r="B68" s="113"/>
      <c r="C68" s="113"/>
      <c r="D68" s="113"/>
      <c r="E68" s="113"/>
      <c r="F68" s="113"/>
      <c r="G68" s="113"/>
      <c r="H68" s="113"/>
      <c r="I68" s="113"/>
      <c r="J68" s="113"/>
      <c r="K68" s="113"/>
      <c r="L68" s="113"/>
      <c r="M68" s="113"/>
      <c r="N68" s="113"/>
    </row>
    <row r="69" spans="1:26" s="109" customFormat="1" ht="14">
      <c r="B69" s="113"/>
      <c r="C69" s="113"/>
      <c r="D69" s="113"/>
      <c r="E69" s="113"/>
      <c r="F69" s="113"/>
      <c r="G69" s="113"/>
      <c r="H69" s="113"/>
      <c r="I69" s="113"/>
      <c r="J69" s="113"/>
      <c r="K69" s="113"/>
      <c r="L69" s="113"/>
      <c r="M69" s="113"/>
      <c r="N69" s="113"/>
    </row>
    <row r="70" spans="1:26" s="109" customFormat="1" ht="14">
      <c r="B70" s="113"/>
      <c r="C70" s="113"/>
      <c r="D70" s="113"/>
      <c r="E70" s="113"/>
      <c r="F70" s="113"/>
      <c r="G70" s="113"/>
      <c r="H70" s="113"/>
      <c r="I70" s="113"/>
      <c r="J70" s="113"/>
      <c r="K70" s="113"/>
      <c r="L70" s="113"/>
      <c r="M70" s="113"/>
      <c r="N70" s="113"/>
    </row>
    <row r="71" spans="1:26" s="109" customFormat="1" ht="14">
      <c r="B71" s="113"/>
      <c r="C71" s="113"/>
      <c r="D71" s="113"/>
      <c r="E71" s="113"/>
      <c r="F71" s="113"/>
      <c r="G71" s="113"/>
      <c r="H71" s="113"/>
      <c r="I71" s="113"/>
      <c r="J71" s="113"/>
      <c r="K71" s="113"/>
      <c r="L71" s="113"/>
      <c r="M71" s="113"/>
      <c r="N71" s="113"/>
    </row>
    <row r="72" spans="1:26" s="109" customFormat="1" ht="14">
      <c r="B72" s="113"/>
      <c r="C72" s="113"/>
      <c r="D72" s="113"/>
      <c r="E72" s="113"/>
      <c r="F72" s="113"/>
      <c r="G72" s="113"/>
      <c r="H72" s="113"/>
      <c r="I72" s="113"/>
      <c r="J72" s="113"/>
      <c r="K72" s="113"/>
      <c r="L72" s="113"/>
      <c r="M72" s="113"/>
      <c r="N72" s="113"/>
    </row>
    <row r="73" spans="1:26" s="109" customFormat="1" ht="14">
      <c r="B73" s="113"/>
      <c r="C73" s="113"/>
      <c r="D73" s="113"/>
      <c r="E73" s="113"/>
      <c r="F73" s="113"/>
      <c r="G73" s="113"/>
      <c r="H73" s="113"/>
      <c r="I73" s="113"/>
      <c r="J73" s="113"/>
      <c r="K73" s="113"/>
      <c r="L73" s="113"/>
      <c r="M73" s="113"/>
      <c r="N73" s="113"/>
    </row>
    <row r="74" spans="1:26" s="109" customFormat="1" ht="14">
      <c r="A74" s="104"/>
      <c r="B74" s="105"/>
      <c r="C74" s="105"/>
      <c r="D74" s="105"/>
      <c r="E74" s="105"/>
      <c r="F74" s="105"/>
      <c r="G74" s="105"/>
      <c r="H74" s="105"/>
      <c r="I74" s="105"/>
      <c r="J74" s="105"/>
      <c r="K74" s="105"/>
      <c r="L74" s="105"/>
      <c r="M74" s="105"/>
      <c r="N74" s="105"/>
      <c r="O74" s="104"/>
      <c r="P74" s="104"/>
      <c r="Q74" s="104"/>
      <c r="R74" s="104"/>
    </row>
    <row r="75" spans="1:26" s="109" customFormat="1" ht="14">
      <c r="A75" s="104"/>
      <c r="B75" s="105"/>
      <c r="C75" s="105"/>
      <c r="D75" s="105"/>
      <c r="E75" s="105"/>
      <c r="F75" s="105"/>
      <c r="G75" s="105"/>
      <c r="H75" s="105"/>
      <c r="I75" s="105"/>
      <c r="J75" s="105"/>
      <c r="K75" s="105"/>
      <c r="L75" s="105"/>
      <c r="M75" s="105"/>
      <c r="N75" s="105"/>
      <c r="O75" s="104"/>
      <c r="P75" s="104"/>
      <c r="Q75" s="104"/>
      <c r="R75" s="104"/>
    </row>
    <row r="76" spans="1:26" s="109" customFormat="1" ht="14">
      <c r="A76" s="104"/>
      <c r="B76" s="105"/>
      <c r="C76" s="105"/>
      <c r="D76" s="105"/>
      <c r="E76" s="105"/>
      <c r="F76" s="105"/>
      <c r="G76" s="105"/>
      <c r="H76" s="105"/>
      <c r="I76" s="105"/>
      <c r="J76" s="105"/>
      <c r="K76" s="105"/>
      <c r="L76" s="105"/>
      <c r="M76" s="105"/>
      <c r="N76" s="105"/>
      <c r="O76" s="104"/>
      <c r="P76" s="104"/>
      <c r="Q76" s="104"/>
      <c r="R76" s="104"/>
    </row>
    <row r="77" spans="1:26" s="109" customFormat="1" ht="14">
      <c r="A77" s="104"/>
      <c r="B77" s="105"/>
      <c r="C77" s="105"/>
      <c r="D77" s="105"/>
      <c r="E77" s="105"/>
      <c r="F77" s="105"/>
      <c r="G77" s="105"/>
      <c r="H77" s="105"/>
      <c r="I77" s="105"/>
      <c r="J77" s="105"/>
      <c r="K77" s="105"/>
      <c r="L77" s="105"/>
      <c r="M77" s="105"/>
      <c r="N77" s="105"/>
      <c r="O77" s="104"/>
      <c r="P77" s="104"/>
      <c r="Q77" s="104"/>
      <c r="R77" s="104"/>
    </row>
    <row r="78" spans="1:26" s="109" customFormat="1" ht="14">
      <c r="A78" s="104"/>
      <c r="B78" s="105"/>
      <c r="C78" s="105"/>
      <c r="D78" s="105"/>
      <c r="E78" s="105"/>
      <c r="F78" s="105"/>
      <c r="G78" s="105"/>
      <c r="H78" s="105"/>
      <c r="I78" s="105"/>
      <c r="J78" s="105"/>
      <c r="K78" s="105"/>
      <c r="L78" s="105"/>
      <c r="M78" s="105"/>
      <c r="N78" s="105"/>
      <c r="O78" s="104"/>
      <c r="P78" s="104"/>
      <c r="Q78" s="104"/>
      <c r="R78" s="104"/>
    </row>
    <row r="79" spans="1:26" s="109" customFormat="1" ht="14">
      <c r="A79" s="104"/>
      <c r="B79" s="105"/>
      <c r="C79" s="105"/>
      <c r="D79" s="105"/>
      <c r="E79" s="105"/>
      <c r="F79" s="105"/>
      <c r="G79" s="105"/>
      <c r="H79" s="105"/>
      <c r="I79" s="105"/>
      <c r="J79" s="105"/>
      <c r="K79" s="105"/>
      <c r="L79" s="105"/>
      <c r="M79" s="105"/>
      <c r="N79" s="105"/>
      <c r="O79" s="104"/>
      <c r="P79" s="104"/>
      <c r="Q79" s="104"/>
      <c r="R79" s="104"/>
    </row>
    <row r="80" spans="1:26" s="109" customFormat="1" ht="14">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796875" defaultRowHeight="12.5"/>
  <cols>
    <col min="1" max="1" width="24" style="104" customWidth="1"/>
    <col min="2" max="14" width="17.1796875" style="105" customWidth="1"/>
    <col min="15" max="26" width="16.7265625" style="104" customWidth="1"/>
    <col min="27" max="27" width="9.1796875" style="104"/>
    <col min="28" max="28" width="5.7265625" style="104" customWidth="1"/>
    <col min="29" max="29" width="9.1796875" style="104" customWidth="1"/>
    <col min="30" max="42" width="5.81640625" style="104" customWidth="1"/>
    <col min="43" max="46" width="9.1796875" style="104" customWidth="1"/>
    <col min="47" max="58" width="6.1796875" style="104" customWidth="1"/>
    <col min="59" max="61" width="9.1796875" style="104" customWidth="1"/>
    <col min="62" max="16384" width="9.179687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579</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5"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49999999999999"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49999999999999"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580</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580</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ht="13">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6" customHeight="1" thickBot="1">
      <c r="A29" s="125"/>
      <c r="B29" s="473" t="s">
        <v>455</v>
      </c>
      <c r="C29" s="474"/>
      <c r="D29" s="488"/>
      <c r="E29" s="477" t="s">
        <v>581</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5.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ht="13">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ht="13">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ht="13">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5"/>
  <cols>
    <col min="1" max="1" width="15.1796875" bestFit="1" customWidth="1"/>
  </cols>
  <sheetData>
    <row r="4" spans="1:24">
      <c r="C4" s="317" t="s">
        <v>14</v>
      </c>
      <c r="D4" s="318">
        <f>VLOOKUP(Cover!A6,Cover!B319:D335,2,FALSE)</f>
        <v>2025</v>
      </c>
      <c r="E4" s="339" t="str">
        <f>Cover!A10</f>
        <v>North West Fire Control</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5"/>
  <cols>
    <col min="1" max="1" width="7.1796875" bestFit="1" customWidth="1"/>
    <col min="2" max="2" width="17.453125" bestFit="1" customWidth="1"/>
    <col min="3" max="3" width="11.1796875" bestFit="1" customWidth="1"/>
    <col min="4" max="4" width="19.1796875" bestFit="1" customWidth="1"/>
    <col min="5" max="5" width="15.1796875" bestFit="1" customWidth="1"/>
    <col min="6" max="6" width="35" bestFit="1" customWidth="1"/>
    <col min="7" max="7" width="6.726562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5"/>
  <cols>
    <col min="1" max="1" width="7.1796875" bestFit="1" customWidth="1"/>
    <col min="2" max="2" width="17.453125" bestFit="1" customWidth="1"/>
    <col min="3" max="3" width="11.1796875" bestFit="1" customWidth="1"/>
    <col min="4" max="4" width="19.1796875" bestFit="1" customWidth="1"/>
    <col min="5" max="5" width="15.1796875" bestFit="1" customWidth="1"/>
    <col min="6" max="6" width="35" bestFit="1" customWidth="1"/>
    <col min="7" max="7" width="6.726562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5"/>
  <cols>
    <col min="1" max="1" width="40.7265625" bestFit="1" customWidth="1"/>
  </cols>
  <sheetData>
    <row r="4" spans="1:21">
      <c r="C4" s="317" t="s">
        <v>16</v>
      </c>
      <c r="D4" s="318" t="str">
        <f>VLOOKUP(Cover!A6,Cover!B319:D335,3,FALSE)</f>
        <v>2024/25</v>
      </c>
      <c r="E4" s="339" t="str">
        <f>Cover!A10</f>
        <v>North West Fire Control</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zoomScale="80" zoomScaleNormal="80" workbookViewId="0">
      <selection activeCell="B5" sqref="B5"/>
    </sheetView>
  </sheetViews>
  <sheetFormatPr defaultColWidth="9.26953125" defaultRowHeight="14.5"/>
  <cols>
    <col min="1" max="1" width="35.26953125" style="63" customWidth="1"/>
    <col min="2" max="21" width="13.453125" style="63" customWidth="1"/>
    <col min="22" max="24" width="9.26953125" style="63"/>
    <col min="25" max="57" width="9.26953125" style="63" customWidth="1"/>
    <col min="58" max="16384" width="9.26953125" style="63"/>
  </cols>
  <sheetData>
    <row r="1" spans="1:26" s="76" customFormat="1" ht="12.5"/>
    <row r="2" spans="1:26" s="76" customFormat="1" ht="12.5"/>
    <row r="3" spans="1:26" s="76" customFormat="1" ht="12.5"/>
    <row r="4" spans="1:26" s="76" customFormat="1" ht="12.5"/>
    <row r="5" spans="1:26" ht="15" thickBot="1"/>
    <row r="6" spans="1:26" s="75" customFormat="1" ht="18.5" thickBot="1">
      <c r="A6" s="534" t="s">
        <v>475</v>
      </c>
      <c r="B6" s="535"/>
      <c r="C6" s="535"/>
      <c r="D6" s="535"/>
      <c r="E6" s="535"/>
      <c r="F6" s="535"/>
      <c r="G6" s="535"/>
      <c r="H6" s="535"/>
      <c r="I6" s="535"/>
      <c r="J6" s="535"/>
      <c r="K6" s="535"/>
      <c r="L6" s="536"/>
      <c r="M6" s="67"/>
    </row>
    <row r="7" spans="1:26" s="75" customFormat="1" ht="18" customHeight="1">
      <c r="A7" s="537" t="s">
        <v>583</v>
      </c>
      <c r="B7" s="538"/>
      <c r="C7" s="538"/>
      <c r="D7" s="538"/>
      <c r="E7" s="538"/>
      <c r="F7" s="538"/>
      <c r="G7" s="538"/>
      <c r="H7" s="538"/>
      <c r="I7" s="538"/>
      <c r="J7" s="538"/>
      <c r="K7" s="538"/>
      <c r="L7" s="539"/>
      <c r="M7" s="72"/>
    </row>
    <row r="8" spans="1:26" s="75" customFormat="1" ht="83.9"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5" customHeight="1" thickBot="1">
      <c r="A10" s="519" t="s">
        <v>582</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5"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3">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3">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5"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 thickBot="1">
      <c r="A29" s="477" t="s">
        <v>584</v>
      </c>
      <c r="B29" s="478"/>
      <c r="C29" s="478"/>
      <c r="D29" s="478"/>
      <c r="E29" s="478"/>
      <c r="F29" s="478"/>
      <c r="G29" s="478"/>
      <c r="H29" s="478"/>
      <c r="I29" s="478"/>
      <c r="J29" s="478"/>
      <c r="K29" s="478"/>
      <c r="L29" s="479"/>
      <c r="M29" s="295"/>
      <c r="N29" s="63"/>
      <c r="O29" s="63"/>
      <c r="R29" s="523"/>
      <c r="S29" s="524"/>
      <c r="T29" s="524"/>
      <c r="U29" s="525"/>
    </row>
    <row r="30" spans="1:21" s="71" customFormat="1" ht="77.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 thickBot="1">
      <c r="O37" s="239"/>
      <c r="R37" s="218"/>
      <c r="S37" s="218"/>
      <c r="T37" s="218"/>
      <c r="U37" s="202"/>
      <c r="V37" s="201"/>
      <c r="W37" s="208"/>
      <c r="X37" s="209"/>
    </row>
    <row r="38" spans="1:24" ht="15" thickBot="1">
      <c r="A38" s="477" t="s">
        <v>584</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5" customHeight="1">
      <c r="O45" s="210"/>
      <c r="P45" s="295"/>
      <c r="R45" s="517"/>
      <c r="S45" s="517"/>
      <c r="T45" s="517"/>
      <c r="U45" s="517"/>
      <c r="V45" s="517"/>
      <c r="W45" s="517"/>
      <c r="X45" s="517"/>
    </row>
    <row r="46" spans="1:24" ht="15" thickBot="1">
      <c r="O46" s="210"/>
      <c r="R46" s="517"/>
      <c r="S46" s="517"/>
      <c r="T46" s="517"/>
      <c r="U46" s="517"/>
      <c r="V46" s="517"/>
      <c r="W46" s="517"/>
      <c r="X46" s="517"/>
    </row>
    <row r="47" spans="1:24" ht="15" thickBot="1">
      <c r="A47" s="519" t="s">
        <v>585</v>
      </c>
      <c r="B47" s="520"/>
      <c r="C47" s="520"/>
      <c r="D47" s="520"/>
      <c r="E47" s="520"/>
      <c r="F47" s="521"/>
      <c r="O47" s="210"/>
      <c r="R47" s="517"/>
      <c r="S47" s="517"/>
      <c r="T47" s="517"/>
      <c r="U47" s="517"/>
      <c r="V47" s="517"/>
      <c r="W47" s="517"/>
      <c r="X47" s="517"/>
    </row>
    <row r="48" spans="1:24" ht="15" thickBot="1">
      <c r="A48" s="45"/>
      <c r="B48" s="157" t="s">
        <v>329</v>
      </c>
      <c r="C48" s="158" t="s">
        <v>330</v>
      </c>
      <c r="D48" s="156" t="s">
        <v>331</v>
      </c>
      <c r="E48" s="156" t="s">
        <v>332</v>
      </c>
      <c r="F48" s="159" t="s">
        <v>288</v>
      </c>
      <c r="R48" s="517"/>
      <c r="S48" s="517"/>
      <c r="T48" s="517"/>
      <c r="U48" s="517"/>
      <c r="V48" s="517"/>
      <c r="W48" s="517"/>
      <c r="X48" s="517"/>
    </row>
    <row r="49" spans="1:24" ht="15" thickBot="1">
      <c r="A49" s="57" t="s">
        <v>485</v>
      </c>
      <c r="B49" s="177"/>
      <c r="C49" s="170"/>
      <c r="D49" s="296"/>
      <c r="E49" s="297"/>
      <c r="F49" s="47">
        <f>SUM(B49:E49)</f>
        <v>0</v>
      </c>
      <c r="R49" s="259"/>
      <c r="S49" s="259"/>
      <c r="T49" s="259"/>
      <c r="U49" s="259"/>
      <c r="V49" s="259"/>
      <c r="W49" s="259"/>
      <c r="X49" s="259"/>
    </row>
    <row r="50" spans="1:24" ht="15" thickBot="1">
      <c r="A50" s="58" t="s">
        <v>486</v>
      </c>
      <c r="B50" s="180"/>
      <c r="C50" s="169"/>
      <c r="D50" s="298"/>
      <c r="E50" s="299"/>
      <c r="F50" s="254">
        <f>SUM(B50:E50)</f>
        <v>0</v>
      </c>
    </row>
    <row r="51" spans="1:24" ht="1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5"/>
  <cols>
    <col min="1" max="1" width="32.26953125" customWidth="1"/>
  </cols>
  <sheetData>
    <row r="4" spans="1:21">
      <c r="C4" s="317" t="s">
        <v>18</v>
      </c>
      <c r="D4" s="318">
        <f>VLOOKUP(Cover!A6,Cover!B319:D335,2,FALSE)</f>
        <v>2025</v>
      </c>
      <c r="E4" s="339" t="str">
        <f>Cover!A10</f>
        <v>North West Fire Control</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zoomScale="80" zoomScaleNormal="80" workbookViewId="0">
      <selection activeCell="R26" sqref="R26:U29"/>
    </sheetView>
  </sheetViews>
  <sheetFormatPr defaultColWidth="9.26953125" defaultRowHeight="14.5"/>
  <cols>
    <col min="1" max="1" width="35.26953125" style="63" customWidth="1"/>
    <col min="2" max="21" width="13.453125" style="63" customWidth="1"/>
    <col min="22" max="24" width="9.26953125" style="63"/>
    <col min="25" max="25" width="10.26953125" style="63" customWidth="1"/>
    <col min="26" max="57" width="9.26953125" style="63" customWidth="1"/>
    <col min="58" max="16384" width="9.26953125" style="63"/>
  </cols>
  <sheetData>
    <row r="1" spans="1:26" s="76" customFormat="1" ht="12.5"/>
    <row r="2" spans="1:26" s="76" customFormat="1" ht="12.5"/>
    <row r="3" spans="1:26" s="76" customFormat="1" ht="12.5"/>
    <row r="4" spans="1:26" s="76" customFormat="1" ht="12.5"/>
    <row r="5" spans="1:26" ht="15" thickBot="1"/>
    <row r="6" spans="1:26" s="75" customFormat="1" ht="18.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5"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5"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5"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5"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5"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5"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5"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5"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5"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5"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5"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5"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5"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5"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5"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5"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5"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5"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70"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5"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5"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5"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5"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5"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5"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5"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5"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5"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5"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5"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5"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5"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5" customHeight="1" thickBot="1">
      <c r="A58" s="477" t="s">
        <v>525</v>
      </c>
      <c r="B58" s="478"/>
      <c r="C58" s="478"/>
      <c r="D58" s="478"/>
      <c r="E58" s="478"/>
      <c r="F58" s="478"/>
      <c r="G58" s="478"/>
      <c r="H58" s="478"/>
      <c r="I58" s="478"/>
      <c r="J58" s="478"/>
      <c r="K58" s="478"/>
      <c r="L58" s="479"/>
      <c r="M58" s="295"/>
      <c r="N58" s="63"/>
      <c r="O58" s="63"/>
      <c r="P58" s="218"/>
    </row>
    <row r="59" spans="1:28" s="71" customFormat="1" ht="82"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5"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5"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5"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 thickBot="1"/>
    <row r="66" spans="1:22" ht="1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5"/>
  <cols>
    <col min="1" max="1" width="18.1796875" customWidth="1"/>
    <col min="4" max="4" width="18.26953125" customWidth="1"/>
    <col min="8" max="8" width="18.26953125" customWidth="1"/>
    <col min="12" max="12" width="18.7265625" customWidth="1"/>
    <col min="16" max="16" width="18.726562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4.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5"/>
  <cols>
    <col min="1" max="1" width="23.26953125" bestFit="1" customWidth="1"/>
    <col min="2" max="2" width="4" customWidth="1"/>
    <col min="3" max="3" width="21.1796875" bestFit="1" customWidth="1"/>
    <col min="4" max="4" width="4.1796875" customWidth="1"/>
    <col min="5" max="5" width="28.26953125" bestFit="1" customWidth="1"/>
  </cols>
  <sheetData>
    <row r="1" spans="1:5" ht="13">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2.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2026-02-20T17:37:14Z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